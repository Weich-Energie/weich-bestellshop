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trick.weich\Projekte\weich-bestellshop\daten\"/>
    </mc:Choice>
  </mc:AlternateContent>
  <xr:revisionPtr revIDLastSave="0" documentId="13_ncr:1_{D9F912C3-5A34-4A50-90EA-FEBB8F005D55}" xr6:coauthVersionLast="47" xr6:coauthVersionMax="47" xr10:uidLastSave="{00000000-0000-0000-0000-000000000000}"/>
  <bookViews>
    <workbookView xWindow="-120" yWindow="-120" windowWidth="66069" windowHeight="18034" xr2:uid="{00000000-000D-0000-FFFF-FFFF00000000}"/>
  </bookViews>
  <sheets>
    <sheet name="Übersicht" sheetId="1" r:id="rId1"/>
    <sheet name="Zuordnungen" sheetId="2" r:id="rId2"/>
  </sheets>
  <definedNames>
    <definedName name="_xlnm._FilterDatabase" localSheetId="1" hidden="1">Zuordnungen!$A$1:$M$92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B30" i="1" s="1"/>
  <c r="D30" i="1" l="1"/>
  <c r="C30" i="1"/>
</calcChain>
</file>

<file path=xl/sharedStrings.xml><?xml version="1.0" encoding="utf-8"?>
<sst xmlns="http://schemas.openxmlformats.org/spreadsheetml/2006/main" count="651" uniqueCount="381">
  <si>
    <t>Geratene R+F-Zuordnungen</t>
  </si>
  <si>
    <t>91 GUT-Artikel, deren R+F-Entsprechung per Textsuche bestimmt wurde und nicht durch Rechnung, Lagerauszug oder Entscheidung belegt ist.</t>
  </si>
  <si>
    <t>Stand 13.09.2026 · Weich Energie · Aufmaß-Projekt</t>
  </si>
  <si>
    <t>So wird die Liste ausgefüllt</t>
  </si>
  <si>
    <t>Im Blatt „Zuordnungen“ sind nur die beiden gelben Spalten zu füllen:</t>
  </si>
  <si>
    <t xml:space="preserve">    Spalte L  „richtige R+F-Nummer“   die Artikelnummer, die stattdessen gilt</t>
  </si>
  <si>
    <t xml:space="preserve">    Spalte M  „Bemerkung“             etwa „wird nicht mehr verbaut“ oder „Preis prüfen“</t>
  </si>
  <si>
    <t>Alle übrigen Spalten bitte stehen lassen, sie sind die Grundlage für den Abgleich.</t>
  </si>
  <si>
    <t>Spalte K sagt, ob der zugeordnete R+F-Artikel überhaupt im Lagerauszug steht.</t>
  </si>
  <si>
    <t>Steht dort „nein“, lässt sich der Preis an nichts prüfen — dort lagen alle</t>
  </si>
  <si>
    <t>schweren Fehler, die bisher gefunden wurden.</t>
  </si>
  <si>
    <t>Beispielzeile</t>
  </si>
  <si>
    <t>GUT-Nummer</t>
  </si>
  <si>
    <t>richtige R+F-Nummer</t>
  </si>
  <si>
    <t>Bemerkung</t>
  </si>
  <si>
    <t>POVUS3525A</t>
  </si>
  <si>
    <t>7020900559045</t>
  </si>
  <si>
    <t>Prestabo läuft aus, Preis vom 28er übernommen</t>
  </si>
  <si>
    <t>Nur ein Beispiel für das Format — diese Zeile bitte nicht übertragen.</t>
  </si>
  <si>
    <t>Nach Kategorie</t>
  </si>
  <si>
    <t>Kategorie</t>
  </si>
  <si>
    <t>Artikel</t>
  </si>
  <si>
    <t>Warenwert</t>
  </si>
  <si>
    <t>davon ohne Regal-Gegenstück</t>
  </si>
  <si>
    <t>daemmung</t>
  </si>
  <si>
    <t>formteil</t>
  </si>
  <si>
    <t>rohr</t>
  </si>
  <si>
    <t>schelle_zubehoer</t>
  </si>
  <si>
    <t>sonstiges</t>
  </si>
  <si>
    <t>ungeklaert</t>
  </si>
  <si>
    <t>ventil</t>
  </si>
  <si>
    <t>Summe</t>
  </si>
  <si>
    <t>Formteil-Gruppe</t>
  </si>
  <si>
    <t>Bezeichnung</t>
  </si>
  <si>
    <t>Zusatz</t>
  </si>
  <si>
    <t>Menge</t>
  </si>
  <si>
    <t>zugeordneter EK</t>
  </si>
  <si>
    <t>zugeordnete R+F-Nr</t>
  </si>
  <si>
    <t>R+F-Bezeichnung</t>
  </si>
  <si>
    <t>R+F im Lagerauszug</t>
  </si>
  <si>
    <t>CLALUEND20SW</t>
  </si>
  <si>
    <t>Position gesperrt. Alu Endmanschettenband 20mm</t>
  </si>
  <si>
    <t>schwarz Rolle a 10m</t>
  </si>
  <si>
    <t>1005060441030</t>
  </si>
  <si>
    <t>nein</t>
  </si>
  <si>
    <t>CLALUEND30</t>
  </si>
  <si>
    <t>Position gesperrt. Alu Endmanschettenband 30mm</t>
  </si>
  <si>
    <t>blank Rolle a 10m</t>
  </si>
  <si>
    <t>1005060450030</t>
  </si>
  <si>
    <t>KHHM2532IVFGP</t>
  </si>
  <si>
    <t>Kugelhahn 1" x 1 1/4" mit Überwurfmutter</t>
  </si>
  <si>
    <t>und Plombierungsbohrung</t>
  </si>
  <si>
    <t>1036285300000</t>
  </si>
  <si>
    <t>WESA-Kugelhahn aus Pressmessing, PN 32, vernickelt, IG/Ü</t>
  </si>
  <si>
    <t>ja</t>
  </si>
  <si>
    <t>CUS3512</t>
  </si>
  <si>
    <t>Kupferrohr Sanco-DVGW EN 1057 35 x 1.2mm</t>
  </si>
  <si>
    <t>hart in Stangen R290</t>
  </si>
  <si>
    <t>1011960350012</t>
  </si>
  <si>
    <t>COFALUK50</t>
  </si>
  <si>
    <t>Alu-Klebeband CONEL 50mm breit</t>
  </si>
  <si>
    <t>Rolle a 100m</t>
  </si>
  <si>
    <t>1005510050000</t>
  </si>
  <si>
    <t>KHDVGW15D</t>
  </si>
  <si>
    <t>KFE-Hahn DVGW-Ausführung 1/2" Durchgang</t>
  </si>
  <si>
    <t>vernickelt ohne Schlauchverschraubung</t>
  </si>
  <si>
    <t>0000101130353</t>
  </si>
  <si>
    <t>rotguss-gewinde / 1" und groesser / gewinde</t>
  </si>
  <si>
    <t>31302515</t>
  </si>
  <si>
    <t>T-Stueck Rotguss 1"x 1/2"x 1"</t>
  </si>
  <si>
    <t>3130</t>
  </si>
  <si>
    <t>0000100322858</t>
  </si>
  <si>
    <t>35302510R</t>
  </si>
  <si>
    <t>Langnippel Rotguss</t>
  </si>
  <si>
    <t>1" x 100mm 3530</t>
  </si>
  <si>
    <t>1014036110000</t>
  </si>
  <si>
    <t>Doppelnippel aus RG/CuSi blank DN 15 (R 1/2) x 100 mm, M</t>
  </si>
  <si>
    <t>connect-inox / 35mm und groesser / gewinde</t>
  </si>
  <si>
    <t>COCIUS3525ANL</t>
  </si>
  <si>
    <t>CONNECT INOX HEAT Übergangsstück</t>
  </si>
  <si>
    <t>35 x 1" AG 1.4307 CONEL</t>
  </si>
  <si>
    <t>7085472283000</t>
  </si>
  <si>
    <t>OptiSteel simplesta SH V Übergangsstück AG, d = 28 x R 1</t>
  </si>
  <si>
    <t>COFW3530</t>
  </si>
  <si>
    <t>CONEL FLEX WOOL Isolierschale, 100%</t>
  </si>
  <si>
    <t>35x33mm, mit alukaschierter Folie, 1m</t>
  </si>
  <si>
    <t>1029988999086</t>
  </si>
  <si>
    <t>KV3390100L</t>
  </si>
  <si>
    <t>Flachheizkörper Kermi Profil V-Kompakt</t>
  </si>
  <si>
    <t>Typ 33 links 900x1000mm lackiert</t>
  </si>
  <si>
    <t>7089033809100</t>
  </si>
  <si>
    <t>RORS8003520</t>
  </si>
  <si>
    <t>Rohrschale 800 1000mm lang 35/20mm</t>
  </si>
  <si>
    <t>nach GEG 50%</t>
  </si>
  <si>
    <t>1005520054050</t>
  </si>
  <si>
    <t>333132</t>
  </si>
  <si>
    <t>Verschraubung Rotguss i/a 1 1/4"</t>
  </si>
  <si>
    <t>flachdichtend 3331</t>
  </si>
  <si>
    <t>1014048300000</t>
  </si>
  <si>
    <t>Rohrverschraubung aus RG/CuSi Nr.3331 R 1, flachdichtend</t>
  </si>
  <si>
    <t>POVR35</t>
  </si>
  <si>
    <t>Prestabo-Rohr 35 x 1,5 mm, Stange a 6m</t>
  </si>
  <si>
    <t>Stahl unlegiert, außen verzinkt</t>
  </si>
  <si>
    <t>7020900559496</t>
  </si>
  <si>
    <t>uponor-mlc / ohne Mass / gewinde</t>
  </si>
  <si>
    <t>UCUEK2522N</t>
  </si>
  <si>
    <t>Übergang Uponor auf Kupfer S-Press PLUS</t>
  </si>
  <si>
    <t>MLC U 25 x 22 Cu zum Pressen</t>
  </si>
  <si>
    <t>1029201070617</t>
  </si>
  <si>
    <t>Uponor Übergang auf Kupfer S-Press PLUS 20-22CU</t>
  </si>
  <si>
    <t>KV336080L</t>
  </si>
  <si>
    <t>Typ 33 links 600x 800mm lackiert</t>
  </si>
  <si>
    <t>0000100323437</t>
  </si>
  <si>
    <t>prestabo-stahl / 35mm und groesser / presse</t>
  </si>
  <si>
    <t>POVRS3522</t>
  </si>
  <si>
    <t>Prestabo-Reduzierstück 35 x 22mm</t>
  </si>
  <si>
    <t>Stahl unlegiert,verzinkt, Einsteckende</t>
  </si>
  <si>
    <t>7020900558765</t>
  </si>
  <si>
    <t>ESSM661</t>
  </si>
  <si>
    <t>ESBE ARA661 Stellmotor 3-Punkt 230V AC</t>
  </si>
  <si>
    <t>Laufzeit 90° 120s</t>
  </si>
  <si>
    <t>7076110095120</t>
  </si>
  <si>
    <t>connect-inox / 35mm und groesser / presse</t>
  </si>
  <si>
    <t>COCIT3515NL</t>
  </si>
  <si>
    <t>CONNECT INOX HEAT T-Stück 35x15x35mm</t>
  </si>
  <si>
    <t>1.4307 CONEL</t>
  </si>
  <si>
    <t>7085929351000</t>
  </si>
  <si>
    <t>35302015R</t>
  </si>
  <si>
    <t>3/4" x 150mm 3530</t>
  </si>
  <si>
    <t>1014036315000</t>
  </si>
  <si>
    <t>KV229040L</t>
  </si>
  <si>
    <t>Typ 22 links 900x 400mm lackiert</t>
  </si>
  <si>
    <t>7089022809040</t>
  </si>
  <si>
    <t>CUS22H</t>
  </si>
  <si>
    <t>Kupferrohr Sanco-DVGW EN 1057 22 x 1.0mm</t>
  </si>
  <si>
    <t>halbhart in Stangen R250</t>
  </si>
  <si>
    <t>1011960220000</t>
  </si>
  <si>
    <t>SSPT50</t>
  </si>
  <si>
    <t>Siphon mit Leckwassertrichter DN 50</t>
  </si>
  <si>
    <t>mit Wandhalterung, aus Kunststoff</t>
  </si>
  <si>
    <t>3059050000000</t>
  </si>
  <si>
    <t>35302010R</t>
  </si>
  <si>
    <t>Langnippel Rotguss 3/4" x 100mm</t>
  </si>
  <si>
    <t>3530</t>
  </si>
  <si>
    <t>gewinde-schwarz / 1" und groesser / gewinde</t>
  </si>
  <si>
    <t>NIPS256</t>
  </si>
  <si>
    <t>Rohrdoppelnippel Nr.23 1" x 60mm</t>
  </si>
  <si>
    <t>schwarz</t>
  </si>
  <si>
    <t>0000100322582</t>
  </si>
  <si>
    <t>POVT3522</t>
  </si>
  <si>
    <t>Prestabo-T-Stück 35 x 22 x 35mm</t>
  </si>
  <si>
    <t>Stahl unlegiert,verzinkt, Pressanschluss</t>
  </si>
  <si>
    <t>7020900558932</t>
  </si>
  <si>
    <t>COFPUP3520</t>
  </si>
  <si>
    <t>CONEL FLEX PUR Isolierschale, 50%</t>
  </si>
  <si>
    <t>35x20mm, mit PVC Mantel, 1m</t>
  </si>
  <si>
    <t>1020141020000</t>
  </si>
  <si>
    <t>CUS281H</t>
  </si>
  <si>
    <t>Kupferrohr Sanco-DVGW EN 1057 28 x 1.0mm</t>
  </si>
  <si>
    <t>1011960281000</t>
  </si>
  <si>
    <t>CLALUEND20</t>
  </si>
  <si>
    <t>1005060450020</t>
  </si>
  <si>
    <t>connect-inox / 22-28mm / gewinde</t>
  </si>
  <si>
    <t>COCIUS2825ANL</t>
  </si>
  <si>
    <t>28 x 1" AG 1.4307 CONEL</t>
  </si>
  <si>
    <t>UCUEK1615N</t>
  </si>
  <si>
    <t>MLC U 16 x 15 Cu</t>
  </si>
  <si>
    <t>1029201070615</t>
  </si>
  <si>
    <t>Uponor Übergang auf Kupfer S-Press PLUS 16-15CU</t>
  </si>
  <si>
    <t>NIPS2515</t>
  </si>
  <si>
    <t>Rohrdoppelnippel Nr.23 1" x 150mm</t>
  </si>
  <si>
    <t>BMPMMEK10</t>
  </si>
  <si>
    <t>Bördeladapter mit Messingmutter 3/8"</t>
  </si>
  <si>
    <t>mit Edelstahlkonus für Kälteanlagen</t>
  </si>
  <si>
    <t>2021521200038</t>
  </si>
  <si>
    <t>COFALUK100</t>
  </si>
  <si>
    <t>Alu-Klebeband CONEL 100mm breit</t>
  </si>
  <si>
    <t>2029840000043</t>
  </si>
  <si>
    <t>CSBLTH200</t>
  </si>
  <si>
    <t>COSMO Tauchhülse DN15 L=200mm</t>
  </si>
  <si>
    <t>Messing vernickelt</t>
  </si>
  <si>
    <t>2023230979902</t>
  </si>
  <si>
    <t>ESBM3020MVN</t>
  </si>
  <si>
    <t>ESBE Brauchwassermischer Serie VTA322</t>
  </si>
  <si>
    <t>35-60 Grad mit Verschraubung 3/4" AG</t>
  </si>
  <si>
    <t>7076131400100</t>
  </si>
  <si>
    <t>WFREN1603</t>
  </si>
  <si>
    <t>Wickelfalzrohr verzinkt DN 160</t>
  </si>
  <si>
    <t>nach DIN EN 12237 Länge 3 Meter</t>
  </si>
  <si>
    <t>2029415200300</t>
  </si>
  <si>
    <t>CTG12</t>
  </si>
  <si>
    <t>COSMO TW-Ausdehnungsgefäss 12 Ltr. weiss</t>
  </si>
  <si>
    <t>VD 4,0 bar, Btr.druck 10 bar durchströmt</t>
  </si>
  <si>
    <t>7008200024349</t>
  </si>
  <si>
    <t>130S32</t>
  </si>
  <si>
    <t>T-Stueck Nr.130 1 1/4"</t>
  </si>
  <si>
    <t>7075413300000</t>
  </si>
  <si>
    <t>T-Stück Nr. 130, schwarz DN 25 (R 1) mit 3 I-Gewinden</t>
  </si>
  <si>
    <t>BMPMMEK16</t>
  </si>
  <si>
    <t>Bördeladapter mit Messingmutter 5/8"</t>
  </si>
  <si>
    <t>2021521300058</t>
  </si>
  <si>
    <t>UCUEK2018N</t>
  </si>
  <si>
    <t>Uebergang auf Kupfer MLC Uponor PLUS</t>
  </si>
  <si>
    <t>U 20 x 18 Cu zum Pressen</t>
  </si>
  <si>
    <t>1012223020018</t>
  </si>
  <si>
    <t>COFW3520</t>
  </si>
  <si>
    <t>CONEL FLEX WOOL Isolierschale, 50%</t>
  </si>
  <si>
    <t>35x20mm, mit alukaschierter Folie, 1m</t>
  </si>
  <si>
    <t>maxipro-kupfer / bis 3/4" / presse</t>
  </si>
  <si>
    <t>BMPB10</t>
  </si>
  <si>
    <t>Bogen 90° B Maxipro 3/8" i/i</t>
  </si>
  <si>
    <t>Kupfer für Kälteanlagen</t>
  </si>
  <si>
    <t>2021511290038</t>
  </si>
  <si>
    <t>FPAT252550II</t>
  </si>
  <si>
    <t>TRINNITY flex. Panzerschlauch f. Heizung</t>
  </si>
  <si>
    <t>Trinkwasser 1" IG x 1" IG, 500 mm</t>
  </si>
  <si>
    <t>1016302003711</t>
  </si>
  <si>
    <t>COCIUS2832ANL</t>
  </si>
  <si>
    <t>28 x 1 1/4" AG 1.4307 CONEL</t>
  </si>
  <si>
    <t>POVT3515</t>
  </si>
  <si>
    <t>Prestabo-T-Stück 35 x 15 x 35mm</t>
  </si>
  <si>
    <t>NIPS2510</t>
  </si>
  <si>
    <t>Rohrdoppelnippel Nr.23 1" x 100mm</t>
  </si>
  <si>
    <t>3530326R</t>
  </si>
  <si>
    <t>1 1/4" x 60mm 3530</t>
  </si>
  <si>
    <t>1014036306000</t>
  </si>
  <si>
    <t>Doppelnippel aus RG/CuSi blank DN 25 (R 1) x 60 mm, Mode</t>
  </si>
  <si>
    <t>NIPS2512</t>
  </si>
  <si>
    <t>Rohrdoppelnippel Nr.23 1" x 120mm</t>
  </si>
  <si>
    <t>COCIRS3522NL</t>
  </si>
  <si>
    <t>CONNECT INOX HEAT Reduzierstück 35x22mm</t>
  </si>
  <si>
    <t>7085941351000</t>
  </si>
  <si>
    <t>3530204R</t>
  </si>
  <si>
    <t>3/4" x 40mm 3530</t>
  </si>
  <si>
    <t>1014036304000</t>
  </si>
  <si>
    <t>Doppelnippel aus RG/CuSi blank DN 25 (R 1) x 40 mm, Mode</t>
  </si>
  <si>
    <t>unbekanntes_system / 22-28mm / gewinde</t>
  </si>
  <si>
    <t>ISIV2520AT</t>
  </si>
  <si>
    <t>Anschlussverschraubung T110 25x3/4" AG</t>
  </si>
  <si>
    <t>Isiflo Messing Wasser</t>
  </si>
  <si>
    <t>0631110032300</t>
  </si>
  <si>
    <t>CUS15H</t>
  </si>
  <si>
    <t>Kupferrohr Sanco-DVGW EN 1057 15 x 1.0mm</t>
  </si>
  <si>
    <t>1011960150000</t>
  </si>
  <si>
    <t>IG5 SANCO-Kupferrohr blank nach EN 1057 halbhart, 15 x 1</t>
  </si>
  <si>
    <t>KKVV1K</t>
  </si>
  <si>
    <t>Kermi Kv-Einsatz V1K</t>
  </si>
  <si>
    <t>f.Ventile Einbauzeitraum von 1991-1993</t>
  </si>
  <si>
    <t>1036826300000</t>
  </si>
  <si>
    <t>FPAT1820100IA</t>
  </si>
  <si>
    <t>Trinkwasser 3/4" IG x 3/4" AG, 1000 mm</t>
  </si>
  <si>
    <t>1016302002614</t>
  </si>
  <si>
    <t>SPPR50100</t>
  </si>
  <si>
    <t>Silent PP Rohr DN 50 mit 1 Muffe</t>
  </si>
  <si>
    <t>Länge 1000mm Geberit</t>
  </si>
  <si>
    <t>1009100050100</t>
  </si>
  <si>
    <t>UCUEK2022N</t>
  </si>
  <si>
    <t>MLC U 20 x 22 Cu</t>
  </si>
  <si>
    <t>maxipro-kupfer / 1" und groesser / presse</t>
  </si>
  <si>
    <t>BMPB1645</t>
  </si>
  <si>
    <t>Bogen 45° B Maxipro 5/8" i/i</t>
  </si>
  <si>
    <t>2021511045058</t>
  </si>
  <si>
    <t>VALL2409</t>
  </si>
  <si>
    <t>VALL ISO-Bogen EPE/160/90</t>
  </si>
  <si>
    <t>inkl. Verbinder, DN 160, 90 Grad</t>
  </si>
  <si>
    <t>1015165885205</t>
  </si>
  <si>
    <t>COCIT3515INL</t>
  </si>
  <si>
    <t>CONNECT INOX HEAT T-Stück 35x1/2"x35mm</t>
  </si>
  <si>
    <t>32413215</t>
  </si>
  <si>
    <t>Reduzierstueck Rotguss 1 1/4" x 1/2"</t>
  </si>
  <si>
    <t>3241</t>
  </si>
  <si>
    <t>1014200447984</t>
  </si>
  <si>
    <t>32453225</t>
  </si>
  <si>
    <t>Doppelnippel Rotguss 1 1/4" x 1"</t>
  </si>
  <si>
    <t>3245</t>
  </si>
  <si>
    <t>1014057430000</t>
  </si>
  <si>
    <t>3530158R</t>
  </si>
  <si>
    <t>Langnippel Rotguss 1/2" x 80mm</t>
  </si>
  <si>
    <t>1014036308000</t>
  </si>
  <si>
    <t>Doppelnippel aus RG/CuSi blank DN 25 (R 1) x 80 mm, Mode</t>
  </si>
  <si>
    <t>CCLSTS8120</t>
  </si>
  <si>
    <t>Stockschraube KLICK M8x120</t>
  </si>
  <si>
    <t>I-Stern galv. verz. CONEL</t>
  </si>
  <si>
    <t>1015115110000</t>
  </si>
  <si>
    <t>FPAT182050II</t>
  </si>
  <si>
    <t>Trinkwasser 3/4" IG x 3/4" IG, 500mm</t>
  </si>
  <si>
    <t>1016302003611</t>
  </si>
  <si>
    <t>CCLSTS8100</t>
  </si>
  <si>
    <t>Stockschraube KLICK M8x100</t>
  </si>
  <si>
    <t>OTSSV32</t>
  </si>
  <si>
    <t>Oberteil m.Handrad 1 1/4" messing</t>
  </si>
  <si>
    <t>f.Durchgangsventile</t>
  </si>
  <si>
    <t>0897342032400</t>
  </si>
  <si>
    <t>COFEL2813</t>
  </si>
  <si>
    <t>CONEL FLEX EL Schlauchisolierung 50%</t>
  </si>
  <si>
    <t>28 x 13mm ungeschl. Länge: 2m</t>
  </si>
  <si>
    <t>1005021035020</t>
  </si>
  <si>
    <t>SPPB5088</t>
  </si>
  <si>
    <t>Bogen Silent PP DN 50 87,5 Grad m.Muffe</t>
  </si>
  <si>
    <t>Geberit</t>
  </si>
  <si>
    <t>1009505050088</t>
  </si>
  <si>
    <t>241S3215</t>
  </si>
  <si>
    <t>Reduzierstueck Nr.241 1 1/4" x 1/2"</t>
  </si>
  <si>
    <t>1012561410000</t>
  </si>
  <si>
    <t>WFBD16090</t>
  </si>
  <si>
    <t>Bogen gepresst Wickelfalz vz.DN 160</t>
  </si>
  <si>
    <t>90 Grad m.Dichtung</t>
  </si>
  <si>
    <t>7085907540000</t>
  </si>
  <si>
    <t>uponor-mlc / 25-32mm / gewinde</t>
  </si>
  <si>
    <t>UCPW2520N</t>
  </si>
  <si>
    <t>Winkelnippel Uponor S-Press PLUS</t>
  </si>
  <si>
    <t>MLC 25 x 3/4" AG 90 Grad</t>
  </si>
  <si>
    <t>1029201070536</t>
  </si>
  <si>
    <t>CASSV156</t>
  </si>
  <si>
    <t>Solar-Sicherheitsventil 1/2"x6 bar</t>
  </si>
  <si>
    <t>einsetzbar bis 160 Grad verchromt</t>
  </si>
  <si>
    <t>7079056106000</t>
  </si>
  <si>
    <t>uponor-mlc / 25-32mm / presse</t>
  </si>
  <si>
    <t>UCPTR252020N</t>
  </si>
  <si>
    <t>T-Stück Uponor reduziert S-Press PLUS</t>
  </si>
  <si>
    <t>MLC 25 x 20 x 20mm</t>
  </si>
  <si>
    <t>7074001063938</t>
  </si>
  <si>
    <t>connect-inox / 22-28mm / presse</t>
  </si>
  <si>
    <t>COCIT2822NL</t>
  </si>
  <si>
    <t>CONNECT INOX HEAT T-Stück 28x22x28mm</t>
  </si>
  <si>
    <t>7085930280000</t>
  </si>
  <si>
    <t>rotguss-gewinde / bis 3/4" / gewinde</t>
  </si>
  <si>
    <t>309220</t>
  </si>
  <si>
    <t>Winkel Rotguss i/a 90 Grad 3/4"</t>
  </si>
  <si>
    <t>3092</t>
  </si>
  <si>
    <t>1014053300000</t>
  </si>
  <si>
    <t>Winkel aus RG/CuSi Nr.3092 R 1, mit I/A-Gewinde</t>
  </si>
  <si>
    <t>unbekanntes_system / 1" und groesser / gewinde</t>
  </si>
  <si>
    <t>PV25I</t>
  </si>
  <si>
    <t>Pumpenverschraubung 1" x 1 1/2" IG</t>
  </si>
  <si>
    <t>Temperguss m.Dichtung f.Heizungspumpen</t>
  </si>
  <si>
    <t>1012931300000</t>
  </si>
  <si>
    <t>COCIRS3528NL</t>
  </si>
  <si>
    <t>CONNECT INOX HEAT Reduzierstück 35x28mm</t>
  </si>
  <si>
    <t>prestabo-stahl / 22-28mm / presse</t>
  </si>
  <si>
    <t>POVT2815</t>
  </si>
  <si>
    <t>Prestabo-T-Stück 28 x 15 x 28mm</t>
  </si>
  <si>
    <t>7020900558918</t>
  </si>
  <si>
    <t>35301515R</t>
  </si>
  <si>
    <t>1/2" x 150mm 3530</t>
  </si>
  <si>
    <t>COFW2220</t>
  </si>
  <si>
    <t>CONEL FLEX WOOL Isolierschale 100%</t>
  </si>
  <si>
    <t>22x22mm, mit alukaschierter Folie, 1m</t>
  </si>
  <si>
    <t>SPPR50200</t>
  </si>
  <si>
    <t>Länge 2000mm Geberit</t>
  </si>
  <si>
    <t>1009100050200</t>
  </si>
  <si>
    <t>COCIUS2820ANL</t>
  </si>
  <si>
    <t>28 x 3/4" AG 1.4307 CONEL</t>
  </si>
  <si>
    <t>HVAA2020</t>
  </si>
  <si>
    <t>Hummel Verlängerung 30 mm G 3/4" IG x</t>
  </si>
  <si>
    <t>G 3/4" AG</t>
  </si>
  <si>
    <t>1016358447311</t>
  </si>
  <si>
    <t>309020</t>
  </si>
  <si>
    <t>Winkel Rotguss i/i 90 Grad 3/4"</t>
  </si>
  <si>
    <t>3090</t>
  </si>
  <si>
    <t>1014011210000</t>
  </si>
  <si>
    <t>CODA1005087</t>
  </si>
  <si>
    <t>CONEL DRAIN Abzweig DN 100x50 87 Grad</t>
  </si>
  <si>
    <t>1009023100000</t>
  </si>
  <si>
    <t>3530156R</t>
  </si>
  <si>
    <t>Langnippel Rotguss 1/2" x 60mm</t>
  </si>
  <si>
    <t>CODA705087</t>
  </si>
  <si>
    <t>CONEL DRAIN Abzweig DN 70x50 87 Grad</t>
  </si>
  <si>
    <t>1009022009000</t>
  </si>
  <si>
    <t>241S3225</t>
  </si>
  <si>
    <t>Reduzierstueck Nr.241 1 1/4" x 1"</t>
  </si>
  <si>
    <t>1012561430000</t>
  </si>
  <si>
    <t>b-press-kupfer / bis 18mm / gewinde</t>
  </si>
  <si>
    <t>SPUS1515</t>
  </si>
  <si>
    <t>Uebergangsstueck Sanpress/Profipress</t>
  </si>
  <si>
    <t>15mm x 1/2"AG, Rotguss,m.Pressanschluss</t>
  </si>
  <si>
    <t>1016361180000</t>
  </si>
  <si>
    <t>SCHLSCH2032</t>
  </si>
  <si>
    <t>Schlauchschelle Stahl 20-32mm</t>
  </si>
  <si>
    <t>f.Schlauchgr. Gummi 3/4"</t>
  </si>
  <si>
    <t>1016735200000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</si>
</sst>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#,##0.00\ &quot;€&quot;"/>
  </numFmts>
  <fonts count="6" x14ac:knownFonts="1">
    <font>
      <sz val="11"/>
      <color theme="1"/>
      <name val="Calibri"/>
      <family val="2"/>
      <scheme val="minor"/>
    </font>
    <font>
      <b/>
      <sz val="14"/>
      <color rgb="FF1F3B4D"/>
      <name val="Arial"/>
    </font>
    <font>
      <sz val="10"/>
      <name val="Arial"/>
    </font>
    <font>
      <sz val="9"/>
      <color rgb="FF5D6871"/>
      <name val="Arial"/>
    </font>
    <font>
      <b/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FFF2CC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D3D9DD"/>
      </left>
      <right style="thin">
        <color rgb="FFD3D9DD"/>
      </right>
      <top style="thin">
        <color rgb="FFD3D9DD"/>
      </top>
      <bottom style="thin">
        <color rgb="FFD3D9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164" fontId="2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showGridLines="0" tabSelected="1" workbookViewId="0"/>
  </sheetViews>
  <sheetFormatPr baseColWidth="10" defaultColWidth="9.23046875" defaultRowHeight="14.6" x14ac:dyDescent="0.4"/>
  <cols>
    <col min="1" max="1" width="46" customWidth="1"/>
    <col min="2" max="2" width="22" customWidth="1"/>
    <col min="3" max="3" width="46" customWidth="1"/>
    <col min="4" max="4" width="30" customWidth="1"/>
  </cols>
  <sheetData>
    <row r="1" spans="1:3" ht="17.600000000000001" x14ac:dyDescent="0.4">
      <c r="A1" s="1" t="s">
        <v>0</v>
      </c>
    </row>
    <row r="2" spans="1:3" x14ac:dyDescent="0.4">
      <c r="A2" s="2" t="s">
        <v>1</v>
      </c>
    </row>
    <row r="3" spans="1:3" x14ac:dyDescent="0.4">
      <c r="A3" s="3" t="s">
        <v>2</v>
      </c>
    </row>
    <row r="5" spans="1:3" x14ac:dyDescent="0.4">
      <c r="A5" s="4" t="s">
        <v>3</v>
      </c>
    </row>
    <row r="6" spans="1:3" x14ac:dyDescent="0.4">
      <c r="A6" s="2" t="s">
        <v>4</v>
      </c>
    </row>
    <row r="7" spans="1:3" x14ac:dyDescent="0.4">
      <c r="A7" s="2" t="s">
        <v>5</v>
      </c>
    </row>
    <row r="8" spans="1:3" x14ac:dyDescent="0.4">
      <c r="A8" s="2" t="s">
        <v>6</v>
      </c>
    </row>
    <row r="9" spans="1:3" x14ac:dyDescent="0.4">
      <c r="A9" s="2" t="s">
        <v>7</v>
      </c>
    </row>
    <row r="10" spans="1:3" x14ac:dyDescent="0.4">
      <c r="A10" s="2"/>
    </row>
    <row r="11" spans="1:3" x14ac:dyDescent="0.4">
      <c r="A11" s="2" t="s">
        <v>8</v>
      </c>
    </row>
    <row r="12" spans="1:3" x14ac:dyDescent="0.4">
      <c r="A12" s="2" t="s">
        <v>9</v>
      </c>
    </row>
    <row r="13" spans="1:3" x14ac:dyDescent="0.4">
      <c r="A13" s="2" t="s">
        <v>10</v>
      </c>
    </row>
    <row r="15" spans="1:3" x14ac:dyDescent="0.4">
      <c r="A15" s="4" t="s">
        <v>11</v>
      </c>
    </row>
    <row r="16" spans="1:3" x14ac:dyDescent="0.4">
      <c r="A16" s="5" t="s">
        <v>12</v>
      </c>
      <c r="B16" s="5" t="s">
        <v>13</v>
      </c>
      <c r="C16" s="5" t="s">
        <v>14</v>
      </c>
    </row>
    <row r="17" spans="1:4" x14ac:dyDescent="0.4">
      <c r="A17" s="6" t="s">
        <v>15</v>
      </c>
      <c r="B17" s="7" t="s">
        <v>16</v>
      </c>
      <c r="C17" s="7" t="s">
        <v>17</v>
      </c>
    </row>
    <row r="18" spans="1:4" x14ac:dyDescent="0.4">
      <c r="A18" s="3" t="s">
        <v>18</v>
      </c>
    </row>
    <row r="21" spans="1:4" x14ac:dyDescent="0.4">
      <c r="A21" s="4" t="s">
        <v>19</v>
      </c>
    </row>
    <row r="22" spans="1:4" x14ac:dyDescent="0.4">
      <c r="A22" s="5" t="s">
        <v>20</v>
      </c>
      <c r="B22" s="5" t="s">
        <v>21</v>
      </c>
      <c r="C22" s="5" t="s">
        <v>22</v>
      </c>
      <c r="D22" s="5" t="s">
        <v>23</v>
      </c>
    </row>
    <row r="23" spans="1:4" x14ac:dyDescent="0.4">
      <c r="A23" s="6" t="s">
        <v>24</v>
      </c>
      <c r="B23" s="6">
        <f>COUNTIF(Zuordnungen!$A$2:$A$92,$A23)</f>
        <v>10</v>
      </c>
      <c r="C23" s="8">
        <f>SUMIF(Zuordnungen!$A$2:$A$92,$A23,Zuordnungen!$H$2:$H$92)</f>
        <v>2476</v>
      </c>
      <c r="D23" s="6">
        <f>COUNTIFS(Zuordnungen!$A$2:$A$92,$A23,Zuordnungen!$K$2:$K$92,"nein")</f>
        <v>10</v>
      </c>
    </row>
    <row r="24" spans="1:4" x14ac:dyDescent="0.4">
      <c r="A24" s="6" t="s">
        <v>25</v>
      </c>
      <c r="B24" s="6">
        <f>COUNTIF(Zuordnungen!$A$2:$A$92,$A24)</f>
        <v>44</v>
      </c>
      <c r="C24" s="8">
        <f>SUMIF(Zuordnungen!$A$2:$A$92,$A24,Zuordnungen!$H$2:$H$92)</f>
        <v>4625</v>
      </c>
      <c r="D24" s="6">
        <f>COUNTIFS(Zuordnungen!$A$2:$A$92,$A24,Zuordnungen!$K$2:$K$92,"nein")</f>
        <v>29</v>
      </c>
    </row>
    <row r="25" spans="1:4" x14ac:dyDescent="0.4">
      <c r="A25" s="6" t="s">
        <v>26</v>
      </c>
      <c r="B25" s="6">
        <f>COUNTIF(Zuordnungen!$A$2:$A$92,$A25)</f>
        <v>7</v>
      </c>
      <c r="C25" s="8">
        <f>SUMIF(Zuordnungen!$A$2:$A$92,$A25,Zuordnungen!$H$2:$H$92)</f>
        <v>1996</v>
      </c>
      <c r="D25" s="6">
        <f>COUNTIFS(Zuordnungen!$A$2:$A$92,$A25,Zuordnungen!$K$2:$K$92,"nein")</f>
        <v>6</v>
      </c>
    </row>
    <row r="26" spans="1:4" x14ac:dyDescent="0.4">
      <c r="A26" s="6" t="s">
        <v>27</v>
      </c>
      <c r="B26" s="6">
        <f>COUNTIF(Zuordnungen!$A$2:$A$92,$A26)</f>
        <v>2</v>
      </c>
      <c r="C26" s="8">
        <f>SUMIF(Zuordnungen!$A$2:$A$92,$A26,Zuordnungen!$H$2:$H$92)</f>
        <v>82</v>
      </c>
      <c r="D26" s="6">
        <f>COUNTIFS(Zuordnungen!$A$2:$A$92,$A26,Zuordnungen!$K$2:$K$92,"nein")</f>
        <v>2</v>
      </c>
    </row>
    <row r="27" spans="1:4" x14ac:dyDescent="0.4">
      <c r="A27" s="6" t="s">
        <v>28</v>
      </c>
      <c r="B27" s="6">
        <f>COUNTIF(Zuordnungen!$A$2:$A$92,$A27)</f>
        <v>7</v>
      </c>
      <c r="C27" s="8">
        <f>SUMIF(Zuordnungen!$A$2:$A$92,$A27,Zuordnungen!$H$2:$H$92)</f>
        <v>1245</v>
      </c>
      <c r="D27" s="6">
        <f>COUNTIFS(Zuordnungen!$A$2:$A$92,$A27,Zuordnungen!$K$2:$K$92,"nein")</f>
        <v>6</v>
      </c>
    </row>
    <row r="28" spans="1:4" x14ac:dyDescent="0.4">
      <c r="A28" s="6" t="s">
        <v>29</v>
      </c>
      <c r="B28" s="6">
        <f>COUNTIF(Zuordnungen!$A$2:$A$92,$A28)</f>
        <v>14</v>
      </c>
      <c r="C28" s="8">
        <f>SUMIF(Zuordnungen!$A$2:$A$92,$A28,Zuordnungen!$H$2:$H$92)</f>
        <v>680</v>
      </c>
      <c r="D28" s="6">
        <f>COUNTIFS(Zuordnungen!$A$2:$A$92,$A28,Zuordnungen!$K$2:$K$92,"nein")</f>
        <v>14</v>
      </c>
    </row>
    <row r="29" spans="1:4" x14ac:dyDescent="0.4">
      <c r="A29" s="6" t="s">
        <v>30</v>
      </c>
      <c r="B29" s="6">
        <f>COUNTIF(Zuordnungen!$A$2:$A$92,$A29)</f>
        <v>7</v>
      </c>
      <c r="C29" s="8">
        <f>SUMIF(Zuordnungen!$A$2:$A$92,$A29,Zuordnungen!$H$2:$H$92)</f>
        <v>4879</v>
      </c>
      <c r="D29" s="6">
        <f>COUNTIFS(Zuordnungen!$A$2:$A$92,$A29,Zuordnungen!$K$2:$K$92,"nein")</f>
        <v>6</v>
      </c>
    </row>
    <row r="30" spans="1:4" x14ac:dyDescent="0.4">
      <c r="A30" s="9" t="s">
        <v>31</v>
      </c>
      <c r="B30" s="9">
        <f>SUM(B23:B29)</f>
        <v>91</v>
      </c>
      <c r="C30" s="10">
        <f>SUM(C23:C29)</f>
        <v>15983</v>
      </c>
      <c r="D30" s="9">
        <f>SUM(D23:D29)</f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6" customWidth="1"/>
    <col min="2" max="2" width="34" customWidth="1"/>
    <col min="3" max="3" width="15" customWidth="1"/>
    <col min="4" max="4" width="52" customWidth="1"/>
    <col min="5" max="5" width="26" customWidth="1"/>
    <col min="6" max="6" width="9" customWidth="1"/>
    <col min="7" max="7" width="15" customWidth="1"/>
    <col min="8" max="8" width="12" customWidth="1"/>
    <col min="9" max="9" width="19" customWidth="1"/>
    <col min="10" max="10" width="44" customWidth="1"/>
    <col min="11" max="11" width="18" customWidth="1"/>
    <col min="12" max="12" width="21" customWidth="1"/>
    <col min="13" max="13" width="40" customWidth="1"/>
  </cols>
  <sheetData>
    <row r="1" spans="1:13" ht="30" customHeight="1" x14ac:dyDescent="0.4">
      <c r="A1" s="11" t="s">
        <v>20</v>
      </c>
      <c r="B1" s="11" t="s">
        <v>32</v>
      </c>
      <c r="C1" s="11" t="s">
        <v>12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22</v>
      </c>
      <c r="I1" s="11" t="s">
        <v>37</v>
      </c>
      <c r="J1" s="11" t="s">
        <v>38</v>
      </c>
      <c r="K1" s="11" t="s">
        <v>39</v>
      </c>
      <c r="L1" s="11" t="s">
        <v>13</v>
      </c>
      <c r="M1" s="11" t="s">
        <v>14</v>
      </c>
    </row>
    <row r="2" spans="1:13" x14ac:dyDescent="0.4">
      <c r="A2" s="12" t="s">
        <v>24</v>
      </c>
      <c r="B2" s="12"/>
      <c r="C2" s="12" t="s">
        <v>40</v>
      </c>
      <c r="D2" s="13" t="s">
        <v>41</v>
      </c>
      <c r="E2" s="13" t="s">
        <v>42</v>
      </c>
      <c r="F2" s="14">
        <v>0</v>
      </c>
      <c r="G2" s="15">
        <v>21.13</v>
      </c>
      <c r="H2" s="16"/>
      <c r="I2" s="12" t="s">
        <v>43</v>
      </c>
      <c r="J2" s="13"/>
      <c r="K2" s="17" t="s">
        <v>44</v>
      </c>
      <c r="L2" s="18"/>
      <c r="M2" s="19"/>
    </row>
    <row r="3" spans="1:13" x14ac:dyDescent="0.4">
      <c r="A3" s="12" t="s">
        <v>24</v>
      </c>
      <c r="B3" s="12"/>
      <c r="C3" s="12" t="s">
        <v>45</v>
      </c>
      <c r="D3" s="13" t="s">
        <v>46</v>
      </c>
      <c r="E3" s="13" t="s">
        <v>47</v>
      </c>
      <c r="F3" s="14">
        <v>0</v>
      </c>
      <c r="G3" s="15">
        <v>24.75</v>
      </c>
      <c r="H3" s="16"/>
      <c r="I3" s="12" t="s">
        <v>48</v>
      </c>
      <c r="J3" s="13"/>
      <c r="K3" s="17" t="s">
        <v>44</v>
      </c>
      <c r="L3" s="18"/>
      <c r="M3" s="19"/>
    </row>
    <row r="4" spans="1:13" ht="24.9" x14ac:dyDescent="0.4">
      <c r="A4" s="12" t="s">
        <v>30</v>
      </c>
      <c r="B4" s="12"/>
      <c r="C4" s="12" t="s">
        <v>49</v>
      </c>
      <c r="D4" s="13" t="s">
        <v>50</v>
      </c>
      <c r="E4" s="13" t="s">
        <v>51</v>
      </c>
      <c r="F4" s="14">
        <v>91</v>
      </c>
      <c r="G4" s="15">
        <v>17.57</v>
      </c>
      <c r="H4" s="16">
        <v>3440</v>
      </c>
      <c r="I4" s="12" t="s">
        <v>52</v>
      </c>
      <c r="J4" s="13" t="s">
        <v>53</v>
      </c>
      <c r="K4" s="12" t="s">
        <v>54</v>
      </c>
      <c r="L4" s="18"/>
      <c r="M4" s="19"/>
    </row>
    <row r="5" spans="1:13" x14ac:dyDescent="0.4">
      <c r="A5" s="12" t="s">
        <v>26</v>
      </c>
      <c r="B5" s="12"/>
      <c r="C5" s="12" t="s">
        <v>55</v>
      </c>
      <c r="D5" s="13" t="s">
        <v>56</v>
      </c>
      <c r="E5" s="13" t="s">
        <v>57</v>
      </c>
      <c r="F5" s="14">
        <v>60</v>
      </c>
      <c r="G5" s="15">
        <v>20.62</v>
      </c>
      <c r="H5" s="16">
        <v>1291</v>
      </c>
      <c r="I5" s="12" t="s">
        <v>58</v>
      </c>
      <c r="J5" s="13"/>
      <c r="K5" s="17" t="s">
        <v>44</v>
      </c>
      <c r="L5" s="18"/>
      <c r="M5" s="19"/>
    </row>
    <row r="6" spans="1:13" x14ac:dyDescent="0.4">
      <c r="A6" s="12" t="s">
        <v>24</v>
      </c>
      <c r="B6" s="12"/>
      <c r="C6" s="12" t="s">
        <v>59</v>
      </c>
      <c r="D6" s="13" t="s">
        <v>60</v>
      </c>
      <c r="E6" s="13" t="s">
        <v>61</v>
      </c>
      <c r="F6" s="14">
        <v>91</v>
      </c>
      <c r="G6" s="15">
        <v>11.7</v>
      </c>
      <c r="H6" s="16">
        <v>1206</v>
      </c>
      <c r="I6" s="12" t="s">
        <v>62</v>
      </c>
      <c r="J6" s="13"/>
      <c r="K6" s="17" t="s">
        <v>44</v>
      </c>
      <c r="L6" s="18"/>
      <c r="M6" s="19"/>
    </row>
    <row r="7" spans="1:13" ht="24.9" x14ac:dyDescent="0.4">
      <c r="A7" s="12" t="s">
        <v>30</v>
      </c>
      <c r="B7" s="12"/>
      <c r="C7" s="12" t="s">
        <v>63</v>
      </c>
      <c r="D7" s="13" t="s">
        <v>64</v>
      </c>
      <c r="E7" s="13" t="s">
        <v>65</v>
      </c>
      <c r="F7" s="14">
        <v>98</v>
      </c>
      <c r="G7" s="15">
        <v>10.43</v>
      </c>
      <c r="H7" s="16">
        <v>1070</v>
      </c>
      <c r="I7" s="12" t="s">
        <v>66</v>
      </c>
      <c r="J7" s="13"/>
      <c r="K7" s="17" t="s">
        <v>44</v>
      </c>
      <c r="L7" s="18"/>
      <c r="M7" s="19"/>
    </row>
    <row r="8" spans="1:13" x14ac:dyDescent="0.4">
      <c r="A8" s="12" t="s">
        <v>25</v>
      </c>
      <c r="B8" s="12" t="s">
        <v>67</v>
      </c>
      <c r="C8" s="12" t="s">
        <v>68</v>
      </c>
      <c r="D8" s="13" t="s">
        <v>69</v>
      </c>
      <c r="E8" s="13" t="s">
        <v>70</v>
      </c>
      <c r="F8" s="14">
        <v>68</v>
      </c>
      <c r="G8" s="15">
        <v>2.91</v>
      </c>
      <c r="H8" s="16">
        <v>910</v>
      </c>
      <c r="I8" s="12" t="s">
        <v>71</v>
      </c>
      <c r="J8" s="13"/>
      <c r="K8" s="17" t="s">
        <v>44</v>
      </c>
      <c r="L8" s="18"/>
      <c r="M8" s="19"/>
    </row>
    <row r="9" spans="1:13" ht="24.9" x14ac:dyDescent="0.4">
      <c r="A9" s="12" t="s">
        <v>25</v>
      </c>
      <c r="B9" s="12" t="s">
        <v>67</v>
      </c>
      <c r="C9" s="12" t="s">
        <v>72</v>
      </c>
      <c r="D9" s="13" t="s">
        <v>73</v>
      </c>
      <c r="E9" s="13" t="s">
        <v>74</v>
      </c>
      <c r="F9" s="14">
        <v>59</v>
      </c>
      <c r="G9" s="15">
        <v>4.96</v>
      </c>
      <c r="H9" s="16">
        <v>600</v>
      </c>
      <c r="I9" s="12" t="s">
        <v>75</v>
      </c>
      <c r="J9" s="13" t="s">
        <v>76</v>
      </c>
      <c r="K9" s="12" t="s">
        <v>54</v>
      </c>
      <c r="L9" s="18"/>
      <c r="M9" s="19"/>
    </row>
    <row r="10" spans="1:13" ht="24.9" x14ac:dyDescent="0.4">
      <c r="A10" s="12" t="s">
        <v>25</v>
      </c>
      <c r="B10" s="12" t="s">
        <v>77</v>
      </c>
      <c r="C10" s="12" t="s">
        <v>78</v>
      </c>
      <c r="D10" s="13" t="s">
        <v>79</v>
      </c>
      <c r="E10" s="13" t="s">
        <v>80</v>
      </c>
      <c r="F10" s="14">
        <v>56</v>
      </c>
      <c r="G10" s="15">
        <v>6.92</v>
      </c>
      <c r="H10" s="16">
        <v>486</v>
      </c>
      <c r="I10" s="12" t="s">
        <v>81</v>
      </c>
      <c r="J10" s="13" t="s">
        <v>82</v>
      </c>
      <c r="K10" s="12" t="s">
        <v>54</v>
      </c>
      <c r="L10" s="18"/>
      <c r="M10" s="19"/>
    </row>
    <row r="11" spans="1:13" ht="24.9" x14ac:dyDescent="0.4">
      <c r="A11" s="12" t="s">
        <v>24</v>
      </c>
      <c r="B11" s="12"/>
      <c r="C11" s="12" t="s">
        <v>83</v>
      </c>
      <c r="D11" s="13" t="s">
        <v>84</v>
      </c>
      <c r="E11" s="13" t="s">
        <v>85</v>
      </c>
      <c r="F11" s="14">
        <v>73</v>
      </c>
      <c r="G11" s="15">
        <v>2.02</v>
      </c>
      <c r="H11" s="16">
        <v>446</v>
      </c>
      <c r="I11" s="12" t="s">
        <v>86</v>
      </c>
      <c r="J11" s="13"/>
      <c r="K11" s="17" t="s">
        <v>44</v>
      </c>
      <c r="L11" s="18"/>
      <c r="M11" s="19"/>
    </row>
    <row r="12" spans="1:13" ht="24.9" x14ac:dyDescent="0.4">
      <c r="A12" s="12" t="s">
        <v>28</v>
      </c>
      <c r="B12" s="12"/>
      <c r="C12" s="12" t="s">
        <v>87</v>
      </c>
      <c r="D12" s="13" t="s">
        <v>88</v>
      </c>
      <c r="E12" s="13" t="s">
        <v>89</v>
      </c>
      <c r="F12" s="14">
        <v>1</v>
      </c>
      <c r="G12" s="15">
        <v>804.31</v>
      </c>
      <c r="H12" s="16">
        <v>432</v>
      </c>
      <c r="I12" s="12" t="s">
        <v>90</v>
      </c>
      <c r="J12" s="13"/>
      <c r="K12" s="17" t="s">
        <v>44</v>
      </c>
      <c r="L12" s="18"/>
      <c r="M12" s="19"/>
    </row>
    <row r="13" spans="1:13" x14ac:dyDescent="0.4">
      <c r="A13" s="12" t="s">
        <v>24</v>
      </c>
      <c r="B13" s="12"/>
      <c r="C13" s="12" t="s">
        <v>91</v>
      </c>
      <c r="D13" s="13" t="s">
        <v>92</v>
      </c>
      <c r="E13" s="13" t="s">
        <v>93</v>
      </c>
      <c r="F13" s="14">
        <v>71</v>
      </c>
      <c r="G13" s="15">
        <v>12.69</v>
      </c>
      <c r="H13" s="16">
        <v>375</v>
      </c>
      <c r="I13" s="12" t="s">
        <v>94</v>
      </c>
      <c r="J13" s="13"/>
      <c r="K13" s="17" t="s">
        <v>44</v>
      </c>
      <c r="L13" s="18"/>
      <c r="M13" s="19"/>
    </row>
    <row r="14" spans="1:13" ht="24.9" x14ac:dyDescent="0.4">
      <c r="A14" s="12" t="s">
        <v>28</v>
      </c>
      <c r="B14" s="12"/>
      <c r="C14" s="12" t="s">
        <v>95</v>
      </c>
      <c r="D14" s="13" t="s">
        <v>96</v>
      </c>
      <c r="E14" s="13" t="s">
        <v>97</v>
      </c>
      <c r="F14" s="14">
        <v>8</v>
      </c>
      <c r="G14" s="15">
        <v>21.27</v>
      </c>
      <c r="H14" s="16">
        <v>332</v>
      </c>
      <c r="I14" s="12" t="s">
        <v>98</v>
      </c>
      <c r="J14" s="13" t="s">
        <v>99</v>
      </c>
      <c r="K14" s="12" t="s">
        <v>54</v>
      </c>
      <c r="L14" s="18"/>
      <c r="M14" s="19"/>
    </row>
    <row r="15" spans="1:13" x14ac:dyDescent="0.4">
      <c r="A15" s="12" t="s">
        <v>26</v>
      </c>
      <c r="B15" s="12"/>
      <c r="C15" s="12" t="s">
        <v>100</v>
      </c>
      <c r="D15" s="13" t="s">
        <v>101</v>
      </c>
      <c r="E15" s="13" t="s">
        <v>102</v>
      </c>
      <c r="F15" s="14">
        <v>78</v>
      </c>
      <c r="G15" s="15">
        <v>5.54</v>
      </c>
      <c r="H15" s="16">
        <v>318</v>
      </c>
      <c r="I15" s="12" t="s">
        <v>103</v>
      </c>
      <c r="J15" s="13"/>
      <c r="K15" s="17" t="s">
        <v>44</v>
      </c>
      <c r="L15" s="18"/>
      <c r="M15" s="19"/>
    </row>
    <row r="16" spans="1:13" ht="24.9" x14ac:dyDescent="0.4">
      <c r="A16" s="12" t="s">
        <v>25</v>
      </c>
      <c r="B16" s="12" t="s">
        <v>104</v>
      </c>
      <c r="C16" s="12" t="s">
        <v>105</v>
      </c>
      <c r="D16" s="13" t="s">
        <v>106</v>
      </c>
      <c r="E16" s="13" t="s">
        <v>107</v>
      </c>
      <c r="F16" s="14">
        <v>26</v>
      </c>
      <c r="G16" s="15">
        <v>9.5399999999999991</v>
      </c>
      <c r="H16" s="16">
        <v>316</v>
      </c>
      <c r="I16" s="12" t="s">
        <v>108</v>
      </c>
      <c r="J16" s="13" t="s">
        <v>109</v>
      </c>
      <c r="K16" s="12" t="s">
        <v>54</v>
      </c>
      <c r="L16" s="18"/>
      <c r="M16" s="19"/>
    </row>
    <row r="17" spans="1:13" ht="24.9" x14ac:dyDescent="0.4">
      <c r="A17" s="12" t="s">
        <v>28</v>
      </c>
      <c r="B17" s="12"/>
      <c r="C17" s="12" t="s">
        <v>110</v>
      </c>
      <c r="D17" s="13" t="s">
        <v>88</v>
      </c>
      <c r="E17" s="13" t="s">
        <v>111</v>
      </c>
      <c r="F17" s="14">
        <v>1</v>
      </c>
      <c r="G17" s="15">
        <v>610.23</v>
      </c>
      <c r="H17" s="16">
        <v>252</v>
      </c>
      <c r="I17" s="12" t="s">
        <v>112</v>
      </c>
      <c r="J17" s="13"/>
      <c r="K17" s="17" t="s">
        <v>44</v>
      </c>
      <c r="L17" s="18"/>
      <c r="M17" s="19"/>
    </row>
    <row r="18" spans="1:13" ht="24.9" x14ac:dyDescent="0.4">
      <c r="A18" s="12" t="s">
        <v>25</v>
      </c>
      <c r="B18" s="12" t="s">
        <v>113</v>
      </c>
      <c r="C18" s="12" t="s">
        <v>114</v>
      </c>
      <c r="D18" s="13" t="s">
        <v>115</v>
      </c>
      <c r="E18" s="13" t="s">
        <v>116</v>
      </c>
      <c r="F18" s="14">
        <v>74</v>
      </c>
      <c r="G18" s="15">
        <v>9.74</v>
      </c>
      <c r="H18" s="16">
        <v>239</v>
      </c>
      <c r="I18" s="12" t="s">
        <v>117</v>
      </c>
      <c r="J18" s="13"/>
      <c r="K18" s="17" t="s">
        <v>44</v>
      </c>
      <c r="L18" s="18"/>
      <c r="M18" s="19"/>
    </row>
    <row r="19" spans="1:13" x14ac:dyDescent="0.4">
      <c r="A19" s="12" t="s">
        <v>30</v>
      </c>
      <c r="B19" s="12"/>
      <c r="C19" s="12" t="s">
        <v>118</v>
      </c>
      <c r="D19" s="13" t="s">
        <v>119</v>
      </c>
      <c r="E19" s="13" t="s">
        <v>120</v>
      </c>
      <c r="F19" s="14">
        <v>2</v>
      </c>
      <c r="G19" s="15">
        <v>164.42</v>
      </c>
      <c r="H19" s="16">
        <v>222</v>
      </c>
      <c r="I19" s="12" t="s">
        <v>121</v>
      </c>
      <c r="J19" s="13"/>
      <c r="K19" s="17" t="s">
        <v>44</v>
      </c>
      <c r="L19" s="18"/>
      <c r="M19" s="19"/>
    </row>
    <row r="20" spans="1:13" x14ac:dyDescent="0.4">
      <c r="A20" s="12" t="s">
        <v>25</v>
      </c>
      <c r="B20" s="12" t="s">
        <v>122</v>
      </c>
      <c r="C20" s="12" t="s">
        <v>123</v>
      </c>
      <c r="D20" s="13" t="s">
        <v>124</v>
      </c>
      <c r="E20" s="13" t="s">
        <v>125</v>
      </c>
      <c r="F20" s="14">
        <v>30</v>
      </c>
      <c r="G20" s="15">
        <v>14.55</v>
      </c>
      <c r="H20" s="16">
        <v>218</v>
      </c>
      <c r="I20" s="12" t="s">
        <v>126</v>
      </c>
      <c r="J20" s="13"/>
      <c r="K20" s="17" t="s">
        <v>44</v>
      </c>
      <c r="L20" s="18"/>
      <c r="M20" s="19"/>
    </row>
    <row r="21" spans="1:13" x14ac:dyDescent="0.4">
      <c r="A21" s="12" t="s">
        <v>25</v>
      </c>
      <c r="B21" s="12" t="s">
        <v>67</v>
      </c>
      <c r="C21" s="12" t="s">
        <v>127</v>
      </c>
      <c r="D21" s="13" t="s">
        <v>73</v>
      </c>
      <c r="E21" s="13" t="s">
        <v>128</v>
      </c>
      <c r="F21" s="14">
        <v>18</v>
      </c>
      <c r="G21" s="15">
        <v>13.44</v>
      </c>
      <c r="H21" s="16">
        <v>195</v>
      </c>
      <c r="I21" s="12" t="s">
        <v>129</v>
      </c>
      <c r="J21" s="13"/>
      <c r="K21" s="17" t="s">
        <v>44</v>
      </c>
      <c r="L21" s="18"/>
      <c r="M21" s="19"/>
    </row>
    <row r="22" spans="1:13" ht="24.9" x14ac:dyDescent="0.4">
      <c r="A22" s="12" t="s">
        <v>28</v>
      </c>
      <c r="B22" s="12"/>
      <c r="C22" s="12" t="s">
        <v>130</v>
      </c>
      <c r="D22" s="13" t="s">
        <v>88</v>
      </c>
      <c r="E22" s="13" t="s">
        <v>131</v>
      </c>
      <c r="F22" s="14">
        <v>1</v>
      </c>
      <c r="G22" s="15">
        <v>332.1</v>
      </c>
      <c r="H22" s="16">
        <v>169</v>
      </c>
      <c r="I22" s="12" t="s">
        <v>132</v>
      </c>
      <c r="J22" s="13"/>
      <c r="K22" s="17" t="s">
        <v>44</v>
      </c>
      <c r="L22" s="18"/>
      <c r="M22" s="19"/>
    </row>
    <row r="23" spans="1:13" x14ac:dyDescent="0.4">
      <c r="A23" s="12" t="s">
        <v>26</v>
      </c>
      <c r="B23" s="12"/>
      <c r="C23" s="12" t="s">
        <v>133</v>
      </c>
      <c r="D23" s="13" t="s">
        <v>134</v>
      </c>
      <c r="E23" s="13" t="s">
        <v>135</v>
      </c>
      <c r="F23" s="14">
        <v>15</v>
      </c>
      <c r="G23" s="15">
        <v>10.43</v>
      </c>
      <c r="H23" s="16">
        <v>167</v>
      </c>
      <c r="I23" s="12" t="s">
        <v>136</v>
      </c>
      <c r="J23" s="13"/>
      <c r="K23" s="17" t="s">
        <v>44</v>
      </c>
      <c r="L23" s="18"/>
      <c r="M23" s="19"/>
    </row>
    <row r="24" spans="1:13" ht="24.9" x14ac:dyDescent="0.4">
      <c r="A24" s="12" t="s">
        <v>29</v>
      </c>
      <c r="B24" s="12"/>
      <c r="C24" s="12" t="s">
        <v>137</v>
      </c>
      <c r="D24" s="13" t="s">
        <v>138</v>
      </c>
      <c r="E24" s="13" t="s">
        <v>139</v>
      </c>
      <c r="F24" s="14">
        <v>37</v>
      </c>
      <c r="G24" s="15">
        <v>9.5500000000000007</v>
      </c>
      <c r="H24" s="16">
        <v>164</v>
      </c>
      <c r="I24" s="12" t="s">
        <v>140</v>
      </c>
      <c r="J24" s="13"/>
      <c r="K24" s="17" t="s">
        <v>44</v>
      </c>
      <c r="L24" s="18"/>
      <c r="M24" s="19"/>
    </row>
    <row r="25" spans="1:13" ht="24.9" x14ac:dyDescent="0.4">
      <c r="A25" s="12" t="s">
        <v>25</v>
      </c>
      <c r="B25" s="12" t="s">
        <v>67</v>
      </c>
      <c r="C25" s="12" t="s">
        <v>141</v>
      </c>
      <c r="D25" s="13" t="s">
        <v>142</v>
      </c>
      <c r="E25" s="13" t="s">
        <v>143</v>
      </c>
      <c r="F25" s="14">
        <v>24</v>
      </c>
      <c r="G25" s="15">
        <v>4.96</v>
      </c>
      <c r="H25" s="16">
        <v>160</v>
      </c>
      <c r="I25" s="12" t="s">
        <v>75</v>
      </c>
      <c r="J25" s="13" t="s">
        <v>76</v>
      </c>
      <c r="K25" s="12" t="s">
        <v>54</v>
      </c>
      <c r="L25" s="18"/>
      <c r="M25" s="19"/>
    </row>
    <row r="26" spans="1:13" x14ac:dyDescent="0.4">
      <c r="A26" s="12" t="s">
        <v>25</v>
      </c>
      <c r="B26" s="12" t="s">
        <v>144</v>
      </c>
      <c r="C26" s="12" t="s">
        <v>145</v>
      </c>
      <c r="D26" s="13" t="s">
        <v>146</v>
      </c>
      <c r="E26" s="13" t="s">
        <v>147</v>
      </c>
      <c r="F26" s="14">
        <v>119</v>
      </c>
      <c r="G26" s="15">
        <v>1.01</v>
      </c>
      <c r="H26" s="16">
        <v>155</v>
      </c>
      <c r="I26" s="12" t="s">
        <v>148</v>
      </c>
      <c r="J26" s="13"/>
      <c r="K26" s="17" t="s">
        <v>44</v>
      </c>
      <c r="L26" s="18"/>
      <c r="M26" s="19"/>
    </row>
    <row r="27" spans="1:13" ht="24.9" x14ac:dyDescent="0.4">
      <c r="A27" s="12" t="s">
        <v>25</v>
      </c>
      <c r="B27" s="12" t="s">
        <v>113</v>
      </c>
      <c r="C27" s="12" t="s">
        <v>149</v>
      </c>
      <c r="D27" s="13" t="s">
        <v>150</v>
      </c>
      <c r="E27" s="13" t="s">
        <v>151</v>
      </c>
      <c r="F27" s="14">
        <v>13</v>
      </c>
      <c r="G27" s="15">
        <v>10.51</v>
      </c>
      <c r="H27" s="16">
        <v>153</v>
      </c>
      <c r="I27" s="12" t="s">
        <v>152</v>
      </c>
      <c r="J27" s="13"/>
      <c r="K27" s="17" t="s">
        <v>44</v>
      </c>
      <c r="L27" s="18"/>
      <c r="M27" s="19"/>
    </row>
    <row r="28" spans="1:13" x14ac:dyDescent="0.4">
      <c r="A28" s="12" t="s">
        <v>24</v>
      </c>
      <c r="B28" s="12"/>
      <c r="C28" s="12" t="s">
        <v>153</v>
      </c>
      <c r="D28" s="13" t="s">
        <v>154</v>
      </c>
      <c r="E28" s="13" t="s">
        <v>155</v>
      </c>
      <c r="F28" s="14">
        <v>30</v>
      </c>
      <c r="G28" s="15">
        <v>5.76</v>
      </c>
      <c r="H28" s="16">
        <v>149</v>
      </c>
      <c r="I28" s="12" t="s">
        <v>156</v>
      </c>
      <c r="J28" s="13"/>
      <c r="K28" s="17" t="s">
        <v>44</v>
      </c>
      <c r="L28" s="18"/>
      <c r="M28" s="19"/>
    </row>
    <row r="29" spans="1:13" x14ac:dyDescent="0.4">
      <c r="A29" s="12" t="s">
        <v>26</v>
      </c>
      <c r="B29" s="12"/>
      <c r="C29" s="12" t="s">
        <v>157</v>
      </c>
      <c r="D29" s="13" t="s">
        <v>158</v>
      </c>
      <c r="E29" s="13" t="s">
        <v>135</v>
      </c>
      <c r="F29" s="14">
        <v>10</v>
      </c>
      <c r="G29" s="15">
        <v>13.71</v>
      </c>
      <c r="H29" s="16">
        <v>143</v>
      </c>
      <c r="I29" s="12" t="s">
        <v>159</v>
      </c>
      <c r="J29" s="13"/>
      <c r="K29" s="17" t="s">
        <v>44</v>
      </c>
      <c r="L29" s="18"/>
      <c r="M29" s="19"/>
    </row>
    <row r="30" spans="1:13" x14ac:dyDescent="0.4">
      <c r="A30" s="12" t="s">
        <v>24</v>
      </c>
      <c r="B30" s="12"/>
      <c r="C30" s="12" t="s">
        <v>160</v>
      </c>
      <c r="D30" s="13" t="s">
        <v>41</v>
      </c>
      <c r="E30" s="13" t="s">
        <v>47</v>
      </c>
      <c r="F30" s="14">
        <v>14</v>
      </c>
      <c r="G30" s="15">
        <v>21.85</v>
      </c>
      <c r="H30" s="16">
        <v>126</v>
      </c>
      <c r="I30" s="12" t="s">
        <v>161</v>
      </c>
      <c r="J30" s="13"/>
      <c r="K30" s="17" t="s">
        <v>44</v>
      </c>
      <c r="L30" s="18"/>
      <c r="M30" s="19"/>
    </row>
    <row r="31" spans="1:13" ht="24.9" x14ac:dyDescent="0.4">
      <c r="A31" s="12" t="s">
        <v>25</v>
      </c>
      <c r="B31" s="12" t="s">
        <v>162</v>
      </c>
      <c r="C31" s="12" t="s">
        <v>163</v>
      </c>
      <c r="D31" s="13" t="s">
        <v>79</v>
      </c>
      <c r="E31" s="13" t="s">
        <v>164</v>
      </c>
      <c r="F31" s="14">
        <v>17</v>
      </c>
      <c r="G31" s="15">
        <v>6.92</v>
      </c>
      <c r="H31" s="16">
        <v>126</v>
      </c>
      <c r="I31" s="12" t="s">
        <v>81</v>
      </c>
      <c r="J31" s="13" t="s">
        <v>82</v>
      </c>
      <c r="K31" s="12" t="s">
        <v>54</v>
      </c>
      <c r="L31" s="18"/>
      <c r="M31" s="19"/>
    </row>
    <row r="32" spans="1:13" x14ac:dyDescent="0.4">
      <c r="A32" s="12" t="s">
        <v>25</v>
      </c>
      <c r="B32" s="12" t="s">
        <v>104</v>
      </c>
      <c r="C32" s="12" t="s">
        <v>165</v>
      </c>
      <c r="D32" s="13" t="s">
        <v>106</v>
      </c>
      <c r="E32" s="13" t="s">
        <v>166</v>
      </c>
      <c r="F32" s="14">
        <v>17</v>
      </c>
      <c r="G32" s="15">
        <v>7.08</v>
      </c>
      <c r="H32" s="16">
        <v>125</v>
      </c>
      <c r="I32" s="12" t="s">
        <v>167</v>
      </c>
      <c r="J32" s="13" t="s">
        <v>168</v>
      </c>
      <c r="K32" s="12" t="s">
        <v>54</v>
      </c>
      <c r="L32" s="18"/>
      <c r="M32" s="19"/>
    </row>
    <row r="33" spans="1:13" x14ac:dyDescent="0.4">
      <c r="A33" s="12" t="s">
        <v>25</v>
      </c>
      <c r="B33" s="12" t="s">
        <v>144</v>
      </c>
      <c r="C33" s="12" t="s">
        <v>169</v>
      </c>
      <c r="D33" s="13" t="s">
        <v>170</v>
      </c>
      <c r="E33" s="13" t="s">
        <v>147</v>
      </c>
      <c r="F33" s="14">
        <v>60</v>
      </c>
      <c r="G33" s="15">
        <v>1.01</v>
      </c>
      <c r="H33" s="16">
        <v>118</v>
      </c>
      <c r="I33" s="12" t="s">
        <v>148</v>
      </c>
      <c r="J33" s="13"/>
      <c r="K33" s="17" t="s">
        <v>44</v>
      </c>
      <c r="L33" s="18"/>
      <c r="M33" s="19"/>
    </row>
    <row r="34" spans="1:13" ht="24.9" x14ac:dyDescent="0.4">
      <c r="A34" s="12" t="s">
        <v>29</v>
      </c>
      <c r="B34" s="12"/>
      <c r="C34" s="12" t="s">
        <v>171</v>
      </c>
      <c r="D34" s="13" t="s">
        <v>172</v>
      </c>
      <c r="E34" s="13" t="s">
        <v>173</v>
      </c>
      <c r="F34" s="14">
        <v>4</v>
      </c>
      <c r="G34" s="15">
        <v>30.18</v>
      </c>
      <c r="H34" s="16">
        <v>112</v>
      </c>
      <c r="I34" s="12" t="s">
        <v>174</v>
      </c>
      <c r="J34" s="13"/>
      <c r="K34" s="17" t="s">
        <v>44</v>
      </c>
      <c r="L34" s="18"/>
      <c r="M34" s="19"/>
    </row>
    <row r="35" spans="1:13" x14ac:dyDescent="0.4">
      <c r="A35" s="12" t="s">
        <v>24</v>
      </c>
      <c r="B35" s="12"/>
      <c r="C35" s="12" t="s">
        <v>175</v>
      </c>
      <c r="D35" s="13" t="s">
        <v>176</v>
      </c>
      <c r="E35" s="13" t="s">
        <v>61</v>
      </c>
      <c r="F35" s="14">
        <v>4</v>
      </c>
      <c r="G35" s="15">
        <v>17.45</v>
      </c>
      <c r="H35" s="16">
        <v>106</v>
      </c>
      <c r="I35" s="12" t="s">
        <v>177</v>
      </c>
      <c r="J35" s="13"/>
      <c r="K35" s="17" t="s">
        <v>44</v>
      </c>
      <c r="L35" s="18"/>
      <c r="M35" s="19"/>
    </row>
    <row r="36" spans="1:13" x14ac:dyDescent="0.4">
      <c r="A36" s="12" t="s">
        <v>27</v>
      </c>
      <c r="B36" s="12"/>
      <c r="C36" s="12" t="s">
        <v>178</v>
      </c>
      <c r="D36" s="13" t="s">
        <v>179</v>
      </c>
      <c r="E36" s="13" t="s">
        <v>180</v>
      </c>
      <c r="F36" s="14">
        <v>8</v>
      </c>
      <c r="G36" s="15">
        <v>30.45</v>
      </c>
      <c r="H36" s="16">
        <v>82</v>
      </c>
      <c r="I36" s="12" t="s">
        <v>181</v>
      </c>
      <c r="J36" s="13"/>
      <c r="K36" s="17" t="s">
        <v>44</v>
      </c>
      <c r="L36" s="18"/>
      <c r="M36" s="19"/>
    </row>
    <row r="37" spans="1:13" ht="24.9" x14ac:dyDescent="0.4">
      <c r="A37" s="12" t="s">
        <v>30</v>
      </c>
      <c r="B37" s="12"/>
      <c r="C37" s="12" t="s">
        <v>182</v>
      </c>
      <c r="D37" s="13" t="s">
        <v>183</v>
      </c>
      <c r="E37" s="13" t="s">
        <v>184</v>
      </c>
      <c r="F37" s="14">
        <v>1</v>
      </c>
      <c r="G37" s="15">
        <v>182.41</v>
      </c>
      <c r="H37" s="16">
        <v>75</v>
      </c>
      <c r="I37" s="12" t="s">
        <v>185</v>
      </c>
      <c r="J37" s="13"/>
      <c r="K37" s="17" t="s">
        <v>44</v>
      </c>
      <c r="L37" s="18"/>
      <c r="M37" s="19"/>
    </row>
    <row r="38" spans="1:13" ht="24.9" x14ac:dyDescent="0.4">
      <c r="A38" s="12" t="s">
        <v>29</v>
      </c>
      <c r="B38" s="12"/>
      <c r="C38" s="12" t="s">
        <v>186</v>
      </c>
      <c r="D38" s="13" t="s">
        <v>187</v>
      </c>
      <c r="E38" s="13" t="s">
        <v>188</v>
      </c>
      <c r="F38" s="14">
        <v>3</v>
      </c>
      <c r="G38" s="15">
        <v>10.34</v>
      </c>
      <c r="H38" s="16">
        <v>72</v>
      </c>
      <c r="I38" s="12" t="s">
        <v>189</v>
      </c>
      <c r="J38" s="13"/>
      <c r="K38" s="17" t="s">
        <v>44</v>
      </c>
      <c r="L38" s="18"/>
      <c r="M38" s="19"/>
    </row>
    <row r="39" spans="1:13" ht="24.9" x14ac:dyDescent="0.4">
      <c r="A39" s="12" t="s">
        <v>29</v>
      </c>
      <c r="B39" s="12"/>
      <c r="C39" s="12" t="s">
        <v>190</v>
      </c>
      <c r="D39" s="13" t="s">
        <v>191</v>
      </c>
      <c r="E39" s="13" t="s">
        <v>192</v>
      </c>
      <c r="F39" s="14">
        <v>1</v>
      </c>
      <c r="G39" s="15">
        <v>103.11</v>
      </c>
      <c r="H39" s="16">
        <v>71</v>
      </c>
      <c r="I39" s="12" t="s">
        <v>193</v>
      </c>
      <c r="J39" s="13"/>
      <c r="K39" s="17" t="s">
        <v>44</v>
      </c>
      <c r="L39" s="18"/>
      <c r="M39" s="19"/>
    </row>
    <row r="40" spans="1:13" ht="24.9" x14ac:dyDescent="0.4">
      <c r="A40" s="12" t="s">
        <v>25</v>
      </c>
      <c r="B40" s="12" t="s">
        <v>144</v>
      </c>
      <c r="C40" s="12" t="s">
        <v>194</v>
      </c>
      <c r="D40" s="13" t="s">
        <v>195</v>
      </c>
      <c r="E40" s="13" t="s">
        <v>147</v>
      </c>
      <c r="F40" s="14">
        <v>20</v>
      </c>
      <c r="G40" s="15">
        <v>2.64</v>
      </c>
      <c r="H40" s="16">
        <v>69</v>
      </c>
      <c r="I40" s="12" t="s">
        <v>196</v>
      </c>
      <c r="J40" s="13" t="s">
        <v>197</v>
      </c>
      <c r="K40" s="12" t="s">
        <v>54</v>
      </c>
      <c r="L40" s="18"/>
      <c r="M40" s="19"/>
    </row>
    <row r="41" spans="1:13" ht="24.9" x14ac:dyDescent="0.4">
      <c r="A41" s="12" t="s">
        <v>29</v>
      </c>
      <c r="B41" s="12"/>
      <c r="C41" s="12" t="s">
        <v>198</v>
      </c>
      <c r="D41" s="13" t="s">
        <v>199</v>
      </c>
      <c r="E41" s="13" t="s">
        <v>173</v>
      </c>
      <c r="F41" s="14">
        <v>2</v>
      </c>
      <c r="G41" s="15">
        <v>51.34</v>
      </c>
      <c r="H41" s="16">
        <v>68</v>
      </c>
      <c r="I41" s="12" t="s">
        <v>200</v>
      </c>
      <c r="J41" s="13"/>
      <c r="K41" s="17" t="s">
        <v>44</v>
      </c>
      <c r="L41" s="18"/>
      <c r="M41" s="19"/>
    </row>
    <row r="42" spans="1:13" x14ac:dyDescent="0.4">
      <c r="A42" s="12" t="s">
        <v>25</v>
      </c>
      <c r="B42" s="12" t="s">
        <v>104</v>
      </c>
      <c r="C42" s="12" t="s">
        <v>201</v>
      </c>
      <c r="D42" s="13" t="s">
        <v>202</v>
      </c>
      <c r="E42" s="13" t="s">
        <v>203</v>
      </c>
      <c r="F42" s="14">
        <v>6</v>
      </c>
      <c r="G42" s="15">
        <v>16.93</v>
      </c>
      <c r="H42" s="16">
        <v>61</v>
      </c>
      <c r="I42" s="12" t="s">
        <v>204</v>
      </c>
      <c r="J42" s="13"/>
      <c r="K42" s="17" t="s">
        <v>44</v>
      </c>
      <c r="L42" s="18"/>
      <c r="M42" s="19"/>
    </row>
    <row r="43" spans="1:13" ht="24.9" x14ac:dyDescent="0.4">
      <c r="A43" s="12" t="s">
        <v>24</v>
      </c>
      <c r="B43" s="12"/>
      <c r="C43" s="12" t="s">
        <v>205</v>
      </c>
      <c r="D43" s="13" t="s">
        <v>206</v>
      </c>
      <c r="E43" s="13" t="s">
        <v>207</v>
      </c>
      <c r="F43" s="14">
        <v>14</v>
      </c>
      <c r="G43" s="15">
        <v>2.02</v>
      </c>
      <c r="H43" s="16">
        <v>60</v>
      </c>
      <c r="I43" s="12" t="s">
        <v>86</v>
      </c>
      <c r="J43" s="13"/>
      <c r="K43" s="17" t="s">
        <v>44</v>
      </c>
      <c r="L43" s="18"/>
      <c r="M43" s="19"/>
    </row>
    <row r="44" spans="1:13" x14ac:dyDescent="0.4">
      <c r="A44" s="12" t="s">
        <v>25</v>
      </c>
      <c r="B44" s="12" t="s">
        <v>208</v>
      </c>
      <c r="C44" s="12" t="s">
        <v>209</v>
      </c>
      <c r="D44" s="13" t="s">
        <v>210</v>
      </c>
      <c r="E44" s="13" t="s">
        <v>211</v>
      </c>
      <c r="F44" s="14">
        <v>5</v>
      </c>
      <c r="G44" s="15">
        <v>11.25</v>
      </c>
      <c r="H44" s="16">
        <v>52</v>
      </c>
      <c r="I44" s="12" t="s">
        <v>212</v>
      </c>
      <c r="J44" s="13"/>
      <c r="K44" s="17" t="s">
        <v>44</v>
      </c>
      <c r="L44" s="18"/>
      <c r="M44" s="19"/>
    </row>
    <row r="45" spans="1:13" ht="24.9" x14ac:dyDescent="0.4">
      <c r="A45" s="12" t="s">
        <v>29</v>
      </c>
      <c r="B45" s="12"/>
      <c r="C45" s="12" t="s">
        <v>213</v>
      </c>
      <c r="D45" s="13" t="s">
        <v>214</v>
      </c>
      <c r="E45" s="13" t="s">
        <v>215</v>
      </c>
      <c r="F45" s="14">
        <v>2</v>
      </c>
      <c r="G45" s="15">
        <v>29.47</v>
      </c>
      <c r="H45" s="16">
        <v>50</v>
      </c>
      <c r="I45" s="12" t="s">
        <v>216</v>
      </c>
      <c r="J45" s="13"/>
      <c r="K45" s="17" t="s">
        <v>44</v>
      </c>
      <c r="L45" s="18"/>
      <c r="M45" s="19"/>
    </row>
    <row r="46" spans="1:13" ht="24.9" x14ac:dyDescent="0.4">
      <c r="A46" s="12" t="s">
        <v>25</v>
      </c>
      <c r="B46" s="12" t="s">
        <v>162</v>
      </c>
      <c r="C46" s="12" t="s">
        <v>217</v>
      </c>
      <c r="D46" s="13" t="s">
        <v>79</v>
      </c>
      <c r="E46" s="13" t="s">
        <v>218</v>
      </c>
      <c r="F46" s="14">
        <v>5</v>
      </c>
      <c r="G46" s="15">
        <v>6.92</v>
      </c>
      <c r="H46" s="16">
        <v>47</v>
      </c>
      <c r="I46" s="12" t="s">
        <v>81</v>
      </c>
      <c r="J46" s="13" t="s">
        <v>82</v>
      </c>
      <c r="K46" s="12" t="s">
        <v>54</v>
      </c>
      <c r="L46" s="18"/>
      <c r="M46" s="19"/>
    </row>
    <row r="47" spans="1:13" ht="24.9" x14ac:dyDescent="0.4">
      <c r="A47" s="12" t="s">
        <v>25</v>
      </c>
      <c r="B47" s="12" t="s">
        <v>113</v>
      </c>
      <c r="C47" s="12" t="s">
        <v>219</v>
      </c>
      <c r="D47" s="13" t="s">
        <v>220</v>
      </c>
      <c r="E47" s="13" t="s">
        <v>151</v>
      </c>
      <c r="F47" s="14">
        <v>4</v>
      </c>
      <c r="G47" s="15">
        <v>10.51</v>
      </c>
      <c r="H47" s="16">
        <v>46</v>
      </c>
      <c r="I47" s="12" t="s">
        <v>152</v>
      </c>
      <c r="J47" s="13"/>
      <c r="K47" s="17" t="s">
        <v>44</v>
      </c>
      <c r="L47" s="18"/>
      <c r="M47" s="19"/>
    </row>
    <row r="48" spans="1:13" x14ac:dyDescent="0.4">
      <c r="A48" s="12" t="s">
        <v>25</v>
      </c>
      <c r="B48" s="12" t="s">
        <v>144</v>
      </c>
      <c r="C48" s="12" t="s">
        <v>221</v>
      </c>
      <c r="D48" s="13" t="s">
        <v>222</v>
      </c>
      <c r="E48" s="13" t="s">
        <v>147</v>
      </c>
      <c r="F48" s="14">
        <v>31</v>
      </c>
      <c r="G48" s="15">
        <v>1.01</v>
      </c>
      <c r="H48" s="16">
        <v>46</v>
      </c>
      <c r="I48" s="12" t="s">
        <v>148</v>
      </c>
      <c r="J48" s="13"/>
      <c r="K48" s="17" t="s">
        <v>44</v>
      </c>
      <c r="L48" s="18"/>
      <c r="M48" s="19"/>
    </row>
    <row r="49" spans="1:13" ht="24.9" x14ac:dyDescent="0.4">
      <c r="A49" s="12" t="s">
        <v>25</v>
      </c>
      <c r="B49" s="12" t="s">
        <v>67</v>
      </c>
      <c r="C49" s="12" t="s">
        <v>223</v>
      </c>
      <c r="D49" s="13" t="s">
        <v>73</v>
      </c>
      <c r="E49" s="13" t="s">
        <v>224</v>
      </c>
      <c r="F49" s="14">
        <v>4</v>
      </c>
      <c r="G49" s="15">
        <v>4.5599999999999996</v>
      </c>
      <c r="H49" s="16">
        <v>45</v>
      </c>
      <c r="I49" s="12" t="s">
        <v>225</v>
      </c>
      <c r="J49" s="13" t="s">
        <v>226</v>
      </c>
      <c r="K49" s="12" t="s">
        <v>54</v>
      </c>
      <c r="L49" s="18"/>
      <c r="M49" s="19"/>
    </row>
    <row r="50" spans="1:13" x14ac:dyDescent="0.4">
      <c r="A50" s="12" t="s">
        <v>25</v>
      </c>
      <c r="B50" s="12" t="s">
        <v>144</v>
      </c>
      <c r="C50" s="12" t="s">
        <v>227</v>
      </c>
      <c r="D50" s="13" t="s">
        <v>228</v>
      </c>
      <c r="E50" s="13" t="s">
        <v>147</v>
      </c>
      <c r="F50" s="14">
        <v>26</v>
      </c>
      <c r="G50" s="15">
        <v>1.01</v>
      </c>
      <c r="H50" s="16">
        <v>44</v>
      </c>
      <c r="I50" s="12" t="s">
        <v>148</v>
      </c>
      <c r="J50" s="13"/>
      <c r="K50" s="17" t="s">
        <v>44</v>
      </c>
      <c r="L50" s="18"/>
      <c r="M50" s="19"/>
    </row>
    <row r="51" spans="1:13" x14ac:dyDescent="0.4">
      <c r="A51" s="12" t="s">
        <v>25</v>
      </c>
      <c r="B51" s="12" t="s">
        <v>122</v>
      </c>
      <c r="C51" s="12" t="s">
        <v>229</v>
      </c>
      <c r="D51" s="13" t="s">
        <v>230</v>
      </c>
      <c r="E51" s="13" t="s">
        <v>125</v>
      </c>
      <c r="F51" s="14">
        <v>12</v>
      </c>
      <c r="G51" s="15">
        <v>5.89</v>
      </c>
      <c r="H51" s="16">
        <v>41</v>
      </c>
      <c r="I51" s="12" t="s">
        <v>231</v>
      </c>
      <c r="J51" s="13"/>
      <c r="K51" s="17" t="s">
        <v>44</v>
      </c>
      <c r="L51" s="18"/>
      <c r="M51" s="19"/>
    </row>
    <row r="52" spans="1:13" ht="24.9" x14ac:dyDescent="0.4">
      <c r="A52" s="12" t="s">
        <v>25</v>
      </c>
      <c r="B52" s="12" t="s">
        <v>67</v>
      </c>
      <c r="C52" s="12" t="s">
        <v>232</v>
      </c>
      <c r="D52" s="13" t="s">
        <v>73</v>
      </c>
      <c r="E52" s="13" t="s">
        <v>233</v>
      </c>
      <c r="F52" s="14">
        <v>16</v>
      </c>
      <c r="G52" s="15">
        <v>3.31</v>
      </c>
      <c r="H52" s="16">
        <v>39</v>
      </c>
      <c r="I52" s="12" t="s">
        <v>234</v>
      </c>
      <c r="J52" s="13" t="s">
        <v>235</v>
      </c>
      <c r="K52" s="12" t="s">
        <v>54</v>
      </c>
      <c r="L52" s="18"/>
      <c r="M52" s="19"/>
    </row>
    <row r="53" spans="1:13" x14ac:dyDescent="0.4">
      <c r="A53" s="12" t="s">
        <v>25</v>
      </c>
      <c r="B53" s="12" t="s">
        <v>236</v>
      </c>
      <c r="C53" s="12" t="s">
        <v>237</v>
      </c>
      <c r="D53" s="13" t="s">
        <v>238</v>
      </c>
      <c r="E53" s="13" t="s">
        <v>239</v>
      </c>
      <c r="F53" s="14">
        <v>2</v>
      </c>
      <c r="G53" s="15">
        <v>30.57</v>
      </c>
      <c r="H53" s="16">
        <v>38</v>
      </c>
      <c r="I53" s="12" t="s">
        <v>240</v>
      </c>
      <c r="J53" s="13"/>
      <c r="K53" s="17" t="s">
        <v>44</v>
      </c>
      <c r="L53" s="18"/>
      <c r="M53" s="19"/>
    </row>
    <row r="54" spans="1:13" ht="24.9" x14ac:dyDescent="0.4">
      <c r="A54" s="12" t="s">
        <v>26</v>
      </c>
      <c r="B54" s="12"/>
      <c r="C54" s="12" t="s">
        <v>241</v>
      </c>
      <c r="D54" s="13" t="s">
        <v>242</v>
      </c>
      <c r="E54" s="13" t="s">
        <v>135</v>
      </c>
      <c r="F54" s="14">
        <v>5</v>
      </c>
      <c r="G54" s="15">
        <v>6.47</v>
      </c>
      <c r="H54" s="16">
        <v>37</v>
      </c>
      <c r="I54" s="12" t="s">
        <v>243</v>
      </c>
      <c r="J54" s="13" t="s">
        <v>244</v>
      </c>
      <c r="K54" s="12" t="s">
        <v>54</v>
      </c>
      <c r="L54" s="18"/>
      <c r="M54" s="19"/>
    </row>
    <row r="55" spans="1:13" ht="24.9" x14ac:dyDescent="0.4">
      <c r="A55" s="12" t="s">
        <v>30</v>
      </c>
      <c r="B55" s="12"/>
      <c r="C55" s="12" t="s">
        <v>245</v>
      </c>
      <c r="D55" s="13" t="s">
        <v>246</v>
      </c>
      <c r="E55" s="13" t="s">
        <v>247</v>
      </c>
      <c r="F55" s="14">
        <v>1</v>
      </c>
      <c r="G55" s="15">
        <v>11.39</v>
      </c>
      <c r="H55" s="16">
        <v>36</v>
      </c>
      <c r="I55" s="12" t="s">
        <v>248</v>
      </c>
      <c r="J55" s="13"/>
      <c r="K55" s="17" t="s">
        <v>44</v>
      </c>
      <c r="L55" s="18"/>
      <c r="M55" s="19"/>
    </row>
    <row r="56" spans="1:13" ht="24.9" x14ac:dyDescent="0.4">
      <c r="A56" s="12" t="s">
        <v>29</v>
      </c>
      <c r="B56" s="12"/>
      <c r="C56" s="12" t="s">
        <v>249</v>
      </c>
      <c r="D56" s="13" t="s">
        <v>214</v>
      </c>
      <c r="E56" s="13" t="s">
        <v>250</v>
      </c>
      <c r="F56" s="14">
        <v>1</v>
      </c>
      <c r="G56" s="15">
        <v>28.11</v>
      </c>
      <c r="H56" s="16">
        <v>34</v>
      </c>
      <c r="I56" s="12" t="s">
        <v>251</v>
      </c>
      <c r="J56" s="13"/>
      <c r="K56" s="17" t="s">
        <v>44</v>
      </c>
      <c r="L56" s="18"/>
      <c r="M56" s="19"/>
    </row>
    <row r="57" spans="1:13" x14ac:dyDescent="0.4">
      <c r="A57" s="12" t="s">
        <v>26</v>
      </c>
      <c r="B57" s="12"/>
      <c r="C57" s="12" t="s">
        <v>252</v>
      </c>
      <c r="D57" s="13" t="s">
        <v>253</v>
      </c>
      <c r="E57" s="13" t="s">
        <v>254</v>
      </c>
      <c r="F57" s="14">
        <v>10</v>
      </c>
      <c r="G57" s="15">
        <v>3.84</v>
      </c>
      <c r="H57" s="16">
        <v>33</v>
      </c>
      <c r="I57" s="12" t="s">
        <v>255</v>
      </c>
      <c r="J57" s="13"/>
      <c r="K57" s="17" t="s">
        <v>44</v>
      </c>
      <c r="L57" s="18"/>
      <c r="M57" s="19"/>
    </row>
    <row r="58" spans="1:13" x14ac:dyDescent="0.4">
      <c r="A58" s="12" t="s">
        <v>25</v>
      </c>
      <c r="B58" s="12" t="s">
        <v>104</v>
      </c>
      <c r="C58" s="12" t="s">
        <v>256</v>
      </c>
      <c r="D58" s="13" t="s">
        <v>106</v>
      </c>
      <c r="E58" s="13" t="s">
        <v>257</v>
      </c>
      <c r="F58" s="14">
        <v>4</v>
      </c>
      <c r="G58" s="15">
        <v>9.5399999999999991</v>
      </c>
      <c r="H58" s="16">
        <v>31</v>
      </c>
      <c r="I58" s="12" t="s">
        <v>108</v>
      </c>
      <c r="J58" s="13" t="s">
        <v>109</v>
      </c>
      <c r="K58" s="12" t="s">
        <v>54</v>
      </c>
      <c r="L58" s="18"/>
      <c r="M58" s="19"/>
    </row>
    <row r="59" spans="1:13" x14ac:dyDescent="0.4">
      <c r="A59" s="12" t="s">
        <v>25</v>
      </c>
      <c r="B59" s="12" t="s">
        <v>258</v>
      </c>
      <c r="C59" s="12" t="s">
        <v>259</v>
      </c>
      <c r="D59" s="13" t="s">
        <v>260</v>
      </c>
      <c r="E59" s="13" t="s">
        <v>211</v>
      </c>
      <c r="F59" s="14">
        <v>3</v>
      </c>
      <c r="G59" s="15">
        <v>11.25</v>
      </c>
      <c r="H59" s="16">
        <v>31</v>
      </c>
      <c r="I59" s="12" t="s">
        <v>261</v>
      </c>
      <c r="J59" s="13"/>
      <c r="K59" s="17" t="s">
        <v>44</v>
      </c>
      <c r="L59" s="18"/>
      <c r="M59" s="19"/>
    </row>
    <row r="60" spans="1:13" ht="24.9" x14ac:dyDescent="0.4">
      <c r="A60" s="12" t="s">
        <v>28</v>
      </c>
      <c r="B60" s="12"/>
      <c r="C60" s="12" t="s">
        <v>262</v>
      </c>
      <c r="D60" s="13" t="s">
        <v>263</v>
      </c>
      <c r="E60" s="13" t="s">
        <v>264</v>
      </c>
      <c r="F60" s="14">
        <v>1</v>
      </c>
      <c r="G60" s="15">
        <v>17.37</v>
      </c>
      <c r="H60" s="16">
        <v>29</v>
      </c>
      <c r="I60" s="12" t="s">
        <v>265</v>
      </c>
      <c r="J60" s="13"/>
      <c r="K60" s="17" t="s">
        <v>44</v>
      </c>
      <c r="L60" s="18"/>
      <c r="M60" s="19"/>
    </row>
    <row r="61" spans="1:13" x14ac:dyDescent="0.4">
      <c r="A61" s="12" t="s">
        <v>25</v>
      </c>
      <c r="B61" s="12" t="s">
        <v>122</v>
      </c>
      <c r="C61" s="12" t="s">
        <v>266</v>
      </c>
      <c r="D61" s="13" t="s">
        <v>267</v>
      </c>
      <c r="E61" s="13" t="s">
        <v>125</v>
      </c>
      <c r="F61" s="14">
        <v>4</v>
      </c>
      <c r="G61" s="15">
        <v>14.55</v>
      </c>
      <c r="H61" s="16">
        <v>29</v>
      </c>
      <c r="I61" s="12" t="s">
        <v>126</v>
      </c>
      <c r="J61" s="13"/>
      <c r="K61" s="17" t="s">
        <v>44</v>
      </c>
      <c r="L61" s="18"/>
      <c r="M61" s="19"/>
    </row>
    <row r="62" spans="1:13" x14ac:dyDescent="0.4">
      <c r="A62" s="12" t="s">
        <v>25</v>
      </c>
      <c r="B62" s="12" t="s">
        <v>67</v>
      </c>
      <c r="C62" s="12" t="s">
        <v>268</v>
      </c>
      <c r="D62" s="13" t="s">
        <v>269</v>
      </c>
      <c r="E62" s="13" t="s">
        <v>270</v>
      </c>
      <c r="F62" s="14">
        <v>4</v>
      </c>
      <c r="G62" s="15">
        <v>5.93</v>
      </c>
      <c r="H62" s="16">
        <v>27</v>
      </c>
      <c r="I62" s="12" t="s">
        <v>271</v>
      </c>
      <c r="J62" s="13"/>
      <c r="K62" s="17" t="s">
        <v>44</v>
      </c>
      <c r="L62" s="18"/>
      <c r="M62" s="19"/>
    </row>
    <row r="63" spans="1:13" x14ac:dyDescent="0.4">
      <c r="A63" s="12" t="s">
        <v>25</v>
      </c>
      <c r="B63" s="12" t="s">
        <v>67</v>
      </c>
      <c r="C63" s="12" t="s">
        <v>272</v>
      </c>
      <c r="D63" s="13" t="s">
        <v>273</v>
      </c>
      <c r="E63" s="13" t="s">
        <v>274</v>
      </c>
      <c r="F63" s="14">
        <v>4</v>
      </c>
      <c r="G63" s="15">
        <v>6.14</v>
      </c>
      <c r="H63" s="16">
        <v>27</v>
      </c>
      <c r="I63" s="12" t="s">
        <v>275</v>
      </c>
      <c r="J63" s="13"/>
      <c r="K63" s="17" t="s">
        <v>44</v>
      </c>
      <c r="L63" s="18"/>
      <c r="M63" s="19"/>
    </row>
    <row r="64" spans="1:13" ht="24.9" x14ac:dyDescent="0.4">
      <c r="A64" s="12" t="s">
        <v>25</v>
      </c>
      <c r="B64" s="12" t="s">
        <v>67</v>
      </c>
      <c r="C64" s="12" t="s">
        <v>276</v>
      </c>
      <c r="D64" s="13" t="s">
        <v>277</v>
      </c>
      <c r="E64" s="13" t="s">
        <v>143</v>
      </c>
      <c r="F64" s="14">
        <v>6</v>
      </c>
      <c r="G64" s="15">
        <v>7.2</v>
      </c>
      <c r="H64" s="16">
        <v>26</v>
      </c>
      <c r="I64" s="12" t="s">
        <v>278</v>
      </c>
      <c r="J64" s="13" t="s">
        <v>279</v>
      </c>
      <c r="K64" s="12" t="s">
        <v>54</v>
      </c>
      <c r="L64" s="18"/>
      <c r="M64" s="19"/>
    </row>
    <row r="65" spans="1:13" x14ac:dyDescent="0.4">
      <c r="A65" s="12" t="s">
        <v>29</v>
      </c>
      <c r="B65" s="12"/>
      <c r="C65" s="12" t="s">
        <v>280</v>
      </c>
      <c r="D65" s="13" t="s">
        <v>281</v>
      </c>
      <c r="E65" s="13" t="s">
        <v>282</v>
      </c>
      <c r="F65" s="14">
        <v>100</v>
      </c>
      <c r="G65" s="15">
        <v>0.47</v>
      </c>
      <c r="H65" s="16">
        <v>25</v>
      </c>
      <c r="I65" s="12" t="s">
        <v>283</v>
      </c>
      <c r="J65" s="13"/>
      <c r="K65" s="17" t="s">
        <v>44</v>
      </c>
      <c r="L65" s="18"/>
      <c r="M65" s="19"/>
    </row>
    <row r="66" spans="1:13" ht="24.9" x14ac:dyDescent="0.4">
      <c r="A66" s="12" t="s">
        <v>29</v>
      </c>
      <c r="B66" s="12"/>
      <c r="C66" s="12" t="s">
        <v>284</v>
      </c>
      <c r="D66" s="13" t="s">
        <v>214</v>
      </c>
      <c r="E66" s="13" t="s">
        <v>285</v>
      </c>
      <c r="F66" s="14">
        <v>1</v>
      </c>
      <c r="G66" s="15">
        <v>19.5</v>
      </c>
      <c r="H66" s="16">
        <v>23</v>
      </c>
      <c r="I66" s="12" t="s">
        <v>286</v>
      </c>
      <c r="J66" s="13"/>
      <c r="K66" s="17" t="s">
        <v>44</v>
      </c>
      <c r="L66" s="18"/>
      <c r="M66" s="19"/>
    </row>
    <row r="67" spans="1:13" x14ac:dyDescent="0.4">
      <c r="A67" s="12" t="s">
        <v>29</v>
      </c>
      <c r="B67" s="12"/>
      <c r="C67" s="12" t="s">
        <v>287</v>
      </c>
      <c r="D67" s="13" t="s">
        <v>288</v>
      </c>
      <c r="E67" s="13" t="s">
        <v>282</v>
      </c>
      <c r="F67" s="14">
        <v>100</v>
      </c>
      <c r="G67" s="15">
        <v>0.47</v>
      </c>
      <c r="H67" s="16">
        <v>23</v>
      </c>
      <c r="I67" s="12" t="s">
        <v>283</v>
      </c>
      <c r="J67" s="13"/>
      <c r="K67" s="17" t="s">
        <v>44</v>
      </c>
      <c r="L67" s="18"/>
      <c r="M67" s="19"/>
    </row>
    <row r="68" spans="1:13" x14ac:dyDescent="0.4">
      <c r="A68" s="12" t="s">
        <v>30</v>
      </c>
      <c r="B68" s="12"/>
      <c r="C68" s="12" t="s">
        <v>289</v>
      </c>
      <c r="D68" s="13" t="s">
        <v>290</v>
      </c>
      <c r="E68" s="13" t="s">
        <v>291</v>
      </c>
      <c r="F68" s="14">
        <v>1</v>
      </c>
      <c r="G68" s="15">
        <v>83.56</v>
      </c>
      <c r="H68" s="16">
        <v>22</v>
      </c>
      <c r="I68" s="12" t="s">
        <v>292</v>
      </c>
      <c r="J68" s="13"/>
      <c r="K68" s="17" t="s">
        <v>44</v>
      </c>
      <c r="L68" s="18"/>
      <c r="M68" s="19"/>
    </row>
    <row r="69" spans="1:13" x14ac:dyDescent="0.4">
      <c r="A69" s="12" t="s">
        <v>29</v>
      </c>
      <c r="B69" s="12"/>
      <c r="C69" s="12" t="s">
        <v>293</v>
      </c>
      <c r="D69" s="13" t="s">
        <v>294</v>
      </c>
      <c r="E69" s="13" t="s">
        <v>295</v>
      </c>
      <c r="F69" s="14">
        <v>12</v>
      </c>
      <c r="G69" s="15">
        <v>4.05</v>
      </c>
      <c r="H69" s="16">
        <v>20</v>
      </c>
      <c r="I69" s="12" t="s">
        <v>296</v>
      </c>
      <c r="J69" s="13"/>
      <c r="K69" s="17" t="s">
        <v>44</v>
      </c>
      <c r="L69" s="18"/>
      <c r="M69" s="19"/>
    </row>
    <row r="70" spans="1:13" x14ac:dyDescent="0.4">
      <c r="A70" s="12" t="s">
        <v>28</v>
      </c>
      <c r="B70" s="12"/>
      <c r="C70" s="12" t="s">
        <v>297</v>
      </c>
      <c r="D70" s="13" t="s">
        <v>298</v>
      </c>
      <c r="E70" s="13" t="s">
        <v>299</v>
      </c>
      <c r="F70" s="14">
        <v>9</v>
      </c>
      <c r="G70" s="15">
        <v>2.97</v>
      </c>
      <c r="H70" s="16">
        <v>16</v>
      </c>
      <c r="I70" s="12" t="s">
        <v>300</v>
      </c>
      <c r="J70" s="13"/>
      <c r="K70" s="17" t="s">
        <v>44</v>
      </c>
      <c r="L70" s="18"/>
      <c r="M70" s="19"/>
    </row>
    <row r="71" spans="1:13" x14ac:dyDescent="0.4">
      <c r="A71" s="12" t="s">
        <v>25</v>
      </c>
      <c r="B71" s="12" t="s">
        <v>144</v>
      </c>
      <c r="C71" s="12" t="s">
        <v>301</v>
      </c>
      <c r="D71" s="13" t="s">
        <v>302</v>
      </c>
      <c r="E71" s="13" t="s">
        <v>147</v>
      </c>
      <c r="F71" s="14">
        <v>10</v>
      </c>
      <c r="G71" s="15">
        <v>2.54</v>
      </c>
      <c r="H71" s="16">
        <v>16</v>
      </c>
      <c r="I71" s="12" t="s">
        <v>303</v>
      </c>
      <c r="J71" s="13"/>
      <c r="K71" s="17" t="s">
        <v>44</v>
      </c>
      <c r="L71" s="18"/>
      <c r="M71" s="19"/>
    </row>
    <row r="72" spans="1:13" x14ac:dyDescent="0.4">
      <c r="A72" s="12" t="s">
        <v>28</v>
      </c>
      <c r="B72" s="12"/>
      <c r="C72" s="12" t="s">
        <v>304</v>
      </c>
      <c r="D72" s="13" t="s">
        <v>305</v>
      </c>
      <c r="E72" s="13" t="s">
        <v>306</v>
      </c>
      <c r="F72" s="14">
        <v>2</v>
      </c>
      <c r="G72" s="15">
        <v>17.690000000000001</v>
      </c>
      <c r="H72" s="16">
        <v>15</v>
      </c>
      <c r="I72" s="12" t="s">
        <v>307</v>
      </c>
      <c r="J72" s="13"/>
      <c r="K72" s="17" t="s">
        <v>44</v>
      </c>
      <c r="L72" s="18"/>
      <c r="M72" s="19"/>
    </row>
    <row r="73" spans="1:13" x14ac:dyDescent="0.4">
      <c r="A73" s="12" t="s">
        <v>25</v>
      </c>
      <c r="B73" s="12" t="s">
        <v>308</v>
      </c>
      <c r="C73" s="12" t="s">
        <v>309</v>
      </c>
      <c r="D73" s="13" t="s">
        <v>310</v>
      </c>
      <c r="E73" s="13" t="s">
        <v>311</v>
      </c>
      <c r="F73" s="14">
        <v>1</v>
      </c>
      <c r="G73" s="15">
        <v>16.39</v>
      </c>
      <c r="H73" s="16">
        <v>15</v>
      </c>
      <c r="I73" s="12" t="s">
        <v>312</v>
      </c>
      <c r="J73" s="13"/>
      <c r="K73" s="17" t="s">
        <v>44</v>
      </c>
      <c r="L73" s="18"/>
      <c r="M73" s="19"/>
    </row>
    <row r="74" spans="1:13" ht="24.9" x14ac:dyDescent="0.4">
      <c r="A74" s="12" t="s">
        <v>30</v>
      </c>
      <c r="B74" s="12"/>
      <c r="C74" s="12" t="s">
        <v>313</v>
      </c>
      <c r="D74" s="13" t="s">
        <v>314</v>
      </c>
      <c r="E74" s="13" t="s">
        <v>315</v>
      </c>
      <c r="F74" s="14">
        <v>1</v>
      </c>
      <c r="G74" s="15">
        <v>21.81</v>
      </c>
      <c r="H74" s="16">
        <v>14</v>
      </c>
      <c r="I74" s="12" t="s">
        <v>316</v>
      </c>
      <c r="J74" s="13"/>
      <c r="K74" s="17" t="s">
        <v>44</v>
      </c>
      <c r="L74" s="18"/>
      <c r="M74" s="19"/>
    </row>
    <row r="75" spans="1:13" x14ac:dyDescent="0.4">
      <c r="A75" s="12" t="s">
        <v>25</v>
      </c>
      <c r="B75" s="12" t="s">
        <v>317</v>
      </c>
      <c r="C75" s="12" t="s">
        <v>318</v>
      </c>
      <c r="D75" s="13" t="s">
        <v>319</v>
      </c>
      <c r="E75" s="13" t="s">
        <v>320</v>
      </c>
      <c r="F75" s="14">
        <v>1</v>
      </c>
      <c r="G75" s="15">
        <v>9.64</v>
      </c>
      <c r="H75" s="16">
        <v>14</v>
      </c>
      <c r="I75" s="12" t="s">
        <v>321</v>
      </c>
      <c r="J75" s="13"/>
      <c r="K75" s="17" t="s">
        <v>44</v>
      </c>
      <c r="L75" s="18"/>
      <c r="M75" s="19"/>
    </row>
    <row r="76" spans="1:13" x14ac:dyDescent="0.4">
      <c r="A76" s="12" t="s">
        <v>25</v>
      </c>
      <c r="B76" s="12" t="s">
        <v>322</v>
      </c>
      <c r="C76" s="12" t="s">
        <v>323</v>
      </c>
      <c r="D76" s="13" t="s">
        <v>324</v>
      </c>
      <c r="E76" s="13" t="s">
        <v>125</v>
      </c>
      <c r="F76" s="14">
        <v>2</v>
      </c>
      <c r="G76" s="15">
        <v>8.65</v>
      </c>
      <c r="H76" s="16">
        <v>12</v>
      </c>
      <c r="I76" s="12" t="s">
        <v>325</v>
      </c>
      <c r="J76" s="13"/>
      <c r="K76" s="17" t="s">
        <v>44</v>
      </c>
      <c r="L76" s="18"/>
      <c r="M76" s="19"/>
    </row>
    <row r="77" spans="1:13" x14ac:dyDescent="0.4">
      <c r="A77" s="12" t="s">
        <v>25</v>
      </c>
      <c r="B77" s="12" t="s">
        <v>326</v>
      </c>
      <c r="C77" s="12" t="s">
        <v>327</v>
      </c>
      <c r="D77" s="13" t="s">
        <v>328</v>
      </c>
      <c r="E77" s="13" t="s">
        <v>329</v>
      </c>
      <c r="F77" s="14">
        <v>3</v>
      </c>
      <c r="G77" s="15">
        <v>5.31</v>
      </c>
      <c r="H77" s="16">
        <v>11</v>
      </c>
      <c r="I77" s="12" t="s">
        <v>330</v>
      </c>
      <c r="J77" s="13" t="s">
        <v>331</v>
      </c>
      <c r="K77" s="12" t="s">
        <v>54</v>
      </c>
      <c r="L77" s="18"/>
      <c r="M77" s="19"/>
    </row>
    <row r="78" spans="1:13" ht="24.9" x14ac:dyDescent="0.4">
      <c r="A78" s="12" t="s">
        <v>25</v>
      </c>
      <c r="B78" s="12" t="s">
        <v>332</v>
      </c>
      <c r="C78" s="12" t="s">
        <v>333</v>
      </c>
      <c r="D78" s="13" t="s">
        <v>334</v>
      </c>
      <c r="E78" s="13" t="s">
        <v>335</v>
      </c>
      <c r="F78" s="14">
        <v>3</v>
      </c>
      <c r="G78" s="15">
        <v>7.54</v>
      </c>
      <c r="H78" s="16">
        <v>9</v>
      </c>
      <c r="I78" s="12" t="s">
        <v>336</v>
      </c>
      <c r="J78" s="13"/>
      <c r="K78" s="17" t="s">
        <v>44</v>
      </c>
      <c r="L78" s="18"/>
      <c r="M78" s="19"/>
    </row>
    <row r="79" spans="1:13" x14ac:dyDescent="0.4">
      <c r="A79" s="12" t="s">
        <v>25</v>
      </c>
      <c r="B79" s="12" t="s">
        <v>122</v>
      </c>
      <c r="C79" s="12" t="s">
        <v>337</v>
      </c>
      <c r="D79" s="13" t="s">
        <v>338</v>
      </c>
      <c r="E79" s="13" t="s">
        <v>125</v>
      </c>
      <c r="F79" s="14">
        <v>2</v>
      </c>
      <c r="G79" s="15">
        <v>5.89</v>
      </c>
      <c r="H79" s="16">
        <v>8</v>
      </c>
      <c r="I79" s="12" t="s">
        <v>231</v>
      </c>
      <c r="J79" s="13"/>
      <c r="K79" s="17" t="s">
        <v>44</v>
      </c>
      <c r="L79" s="18"/>
      <c r="M79" s="19"/>
    </row>
    <row r="80" spans="1:13" ht="24.9" x14ac:dyDescent="0.4">
      <c r="A80" s="12" t="s">
        <v>25</v>
      </c>
      <c r="B80" s="12" t="s">
        <v>339</v>
      </c>
      <c r="C80" s="12" t="s">
        <v>340</v>
      </c>
      <c r="D80" s="13" t="s">
        <v>341</v>
      </c>
      <c r="E80" s="13" t="s">
        <v>151</v>
      </c>
      <c r="F80" s="14">
        <v>1</v>
      </c>
      <c r="G80" s="15">
        <v>7.24</v>
      </c>
      <c r="H80" s="16">
        <v>8</v>
      </c>
      <c r="I80" s="12" t="s">
        <v>342</v>
      </c>
      <c r="J80" s="13"/>
      <c r="K80" s="17" t="s">
        <v>44</v>
      </c>
      <c r="L80" s="18"/>
      <c r="M80" s="19"/>
    </row>
    <row r="81" spans="1:13" x14ac:dyDescent="0.4">
      <c r="A81" s="12" t="s">
        <v>25</v>
      </c>
      <c r="B81" s="12" t="s">
        <v>67</v>
      </c>
      <c r="C81" s="12" t="s">
        <v>343</v>
      </c>
      <c r="D81" s="13" t="s">
        <v>73</v>
      </c>
      <c r="E81" s="13" t="s">
        <v>344</v>
      </c>
      <c r="F81" s="14">
        <v>1</v>
      </c>
      <c r="G81" s="15">
        <v>13.44</v>
      </c>
      <c r="H81" s="16">
        <v>8</v>
      </c>
      <c r="I81" s="12" t="s">
        <v>129</v>
      </c>
      <c r="J81" s="13"/>
      <c r="K81" s="17" t="s">
        <v>44</v>
      </c>
      <c r="L81" s="18"/>
      <c r="M81" s="19"/>
    </row>
    <row r="82" spans="1:13" ht="24.9" x14ac:dyDescent="0.4">
      <c r="A82" s="12" t="s">
        <v>24</v>
      </c>
      <c r="B82" s="12"/>
      <c r="C82" s="12" t="s">
        <v>345</v>
      </c>
      <c r="D82" s="13" t="s">
        <v>346</v>
      </c>
      <c r="E82" s="13" t="s">
        <v>347</v>
      </c>
      <c r="F82" s="14">
        <v>2</v>
      </c>
      <c r="G82" s="15">
        <v>2.02</v>
      </c>
      <c r="H82" s="16">
        <v>8</v>
      </c>
      <c r="I82" s="12" t="s">
        <v>86</v>
      </c>
      <c r="J82" s="13"/>
      <c r="K82" s="17" t="s">
        <v>44</v>
      </c>
      <c r="L82" s="18"/>
      <c r="M82" s="19"/>
    </row>
    <row r="83" spans="1:13" x14ac:dyDescent="0.4">
      <c r="A83" s="12" t="s">
        <v>26</v>
      </c>
      <c r="B83" s="12"/>
      <c r="C83" s="12" t="s">
        <v>348</v>
      </c>
      <c r="D83" s="13" t="s">
        <v>253</v>
      </c>
      <c r="E83" s="13" t="s">
        <v>349</v>
      </c>
      <c r="F83" s="14">
        <v>2</v>
      </c>
      <c r="G83" s="15">
        <v>7.89</v>
      </c>
      <c r="H83" s="16">
        <v>7</v>
      </c>
      <c r="I83" s="12" t="s">
        <v>350</v>
      </c>
      <c r="J83" s="13"/>
      <c r="K83" s="17" t="s">
        <v>44</v>
      </c>
      <c r="L83" s="18"/>
      <c r="M83" s="19"/>
    </row>
    <row r="84" spans="1:13" ht="24.9" x14ac:dyDescent="0.4">
      <c r="A84" s="12" t="s">
        <v>25</v>
      </c>
      <c r="B84" s="12" t="s">
        <v>162</v>
      </c>
      <c r="C84" s="12" t="s">
        <v>351</v>
      </c>
      <c r="D84" s="13" t="s">
        <v>79</v>
      </c>
      <c r="E84" s="13" t="s">
        <v>352</v>
      </c>
      <c r="F84" s="14">
        <v>1</v>
      </c>
      <c r="G84" s="15">
        <v>6.92</v>
      </c>
      <c r="H84" s="16">
        <v>7</v>
      </c>
      <c r="I84" s="12" t="s">
        <v>81</v>
      </c>
      <c r="J84" s="13" t="s">
        <v>82</v>
      </c>
      <c r="K84" s="12" t="s">
        <v>54</v>
      </c>
      <c r="L84" s="18"/>
      <c r="M84" s="19"/>
    </row>
    <row r="85" spans="1:13" x14ac:dyDescent="0.4">
      <c r="A85" s="12" t="s">
        <v>29</v>
      </c>
      <c r="B85" s="12"/>
      <c r="C85" s="12" t="s">
        <v>353</v>
      </c>
      <c r="D85" s="13" t="s">
        <v>354</v>
      </c>
      <c r="E85" s="13" t="s">
        <v>355</v>
      </c>
      <c r="F85" s="14">
        <v>1</v>
      </c>
      <c r="G85" s="15">
        <v>3.73</v>
      </c>
      <c r="H85" s="16">
        <v>7</v>
      </c>
      <c r="I85" s="12" t="s">
        <v>356</v>
      </c>
      <c r="J85" s="13"/>
      <c r="K85" s="17" t="s">
        <v>44</v>
      </c>
      <c r="L85" s="18"/>
      <c r="M85" s="19"/>
    </row>
    <row r="86" spans="1:13" x14ac:dyDescent="0.4">
      <c r="A86" s="12" t="s">
        <v>25</v>
      </c>
      <c r="B86" s="12" t="s">
        <v>326</v>
      </c>
      <c r="C86" s="12" t="s">
        <v>357</v>
      </c>
      <c r="D86" s="13" t="s">
        <v>358</v>
      </c>
      <c r="E86" s="13" t="s">
        <v>359</v>
      </c>
      <c r="F86" s="14">
        <v>2</v>
      </c>
      <c r="G86" s="15">
        <v>7.13</v>
      </c>
      <c r="H86" s="16">
        <v>7</v>
      </c>
      <c r="I86" s="12" t="s">
        <v>360</v>
      </c>
      <c r="J86" s="13"/>
      <c r="K86" s="17" t="s">
        <v>44</v>
      </c>
      <c r="L86" s="18"/>
      <c r="M86" s="19"/>
    </row>
    <row r="87" spans="1:13" x14ac:dyDescent="0.4">
      <c r="A87" s="12" t="s">
        <v>29</v>
      </c>
      <c r="B87" s="12"/>
      <c r="C87" s="12" t="s">
        <v>361</v>
      </c>
      <c r="D87" s="13" t="s">
        <v>362</v>
      </c>
      <c r="E87" s="13"/>
      <c r="F87" s="14">
        <v>1</v>
      </c>
      <c r="G87" s="15">
        <v>18.21</v>
      </c>
      <c r="H87" s="16">
        <v>6</v>
      </c>
      <c r="I87" s="12" t="s">
        <v>363</v>
      </c>
      <c r="J87" s="13"/>
      <c r="K87" s="17" t="s">
        <v>44</v>
      </c>
      <c r="L87" s="18"/>
      <c r="M87" s="19"/>
    </row>
    <row r="88" spans="1:13" ht="24.9" x14ac:dyDescent="0.4">
      <c r="A88" s="12" t="s">
        <v>25</v>
      </c>
      <c r="B88" s="12" t="s">
        <v>67</v>
      </c>
      <c r="C88" s="12" t="s">
        <v>364</v>
      </c>
      <c r="D88" s="13" t="s">
        <v>365</v>
      </c>
      <c r="E88" s="13" t="s">
        <v>143</v>
      </c>
      <c r="F88" s="14">
        <v>2</v>
      </c>
      <c r="G88" s="15">
        <v>4.5599999999999996</v>
      </c>
      <c r="H88" s="16">
        <v>6</v>
      </c>
      <c r="I88" s="12" t="s">
        <v>225</v>
      </c>
      <c r="J88" s="13" t="s">
        <v>226</v>
      </c>
      <c r="K88" s="12" t="s">
        <v>54</v>
      </c>
      <c r="L88" s="18"/>
      <c r="M88" s="19"/>
    </row>
    <row r="89" spans="1:13" x14ac:dyDescent="0.4">
      <c r="A89" s="12" t="s">
        <v>29</v>
      </c>
      <c r="B89" s="12"/>
      <c r="C89" s="12" t="s">
        <v>366</v>
      </c>
      <c r="D89" s="13" t="s">
        <v>367</v>
      </c>
      <c r="E89" s="13"/>
      <c r="F89" s="14">
        <v>1</v>
      </c>
      <c r="G89" s="15">
        <v>14.67</v>
      </c>
      <c r="H89" s="16">
        <v>5</v>
      </c>
      <c r="I89" s="12" t="s">
        <v>368</v>
      </c>
      <c r="J89" s="13"/>
      <c r="K89" s="17" t="s">
        <v>44</v>
      </c>
      <c r="L89" s="18"/>
      <c r="M89" s="19"/>
    </row>
    <row r="90" spans="1:13" x14ac:dyDescent="0.4">
      <c r="A90" s="12" t="s">
        <v>25</v>
      </c>
      <c r="B90" s="12" t="s">
        <v>144</v>
      </c>
      <c r="C90" s="12" t="s">
        <v>369</v>
      </c>
      <c r="D90" s="13" t="s">
        <v>370</v>
      </c>
      <c r="E90" s="13" t="s">
        <v>147</v>
      </c>
      <c r="F90" s="14">
        <v>2</v>
      </c>
      <c r="G90" s="15">
        <v>1.52</v>
      </c>
      <c r="H90" s="16">
        <v>2</v>
      </c>
      <c r="I90" s="12" t="s">
        <v>371</v>
      </c>
      <c r="J90" s="13"/>
      <c r="K90" s="17" t="s">
        <v>44</v>
      </c>
      <c r="L90" s="18"/>
      <c r="M90" s="19"/>
    </row>
    <row r="91" spans="1:13" ht="24.9" x14ac:dyDescent="0.4">
      <c r="A91" s="12" t="s">
        <v>25</v>
      </c>
      <c r="B91" s="12" t="s">
        <v>372</v>
      </c>
      <c r="C91" s="12" t="s">
        <v>373</v>
      </c>
      <c r="D91" s="13" t="s">
        <v>374</v>
      </c>
      <c r="E91" s="13" t="s">
        <v>375</v>
      </c>
      <c r="F91" s="14">
        <v>1</v>
      </c>
      <c r="G91" s="15">
        <v>6.57</v>
      </c>
      <c r="H91" s="16">
        <v>2</v>
      </c>
      <c r="I91" s="12" t="s">
        <v>376</v>
      </c>
      <c r="J91" s="13"/>
      <c r="K91" s="17" t="s">
        <v>44</v>
      </c>
      <c r="L91" s="18"/>
      <c r="M91" s="19"/>
    </row>
    <row r="92" spans="1:13" x14ac:dyDescent="0.4">
      <c r="A92" s="12" t="s">
        <v>27</v>
      </c>
      <c r="B92" s="12"/>
      <c r="C92" s="12" t="s">
        <v>377</v>
      </c>
      <c r="D92" s="13" t="s">
        <v>378</v>
      </c>
      <c r="E92" s="13" t="s">
        <v>379</v>
      </c>
      <c r="F92" s="14">
        <v>1</v>
      </c>
      <c r="G92" s="15">
        <v>0.96</v>
      </c>
      <c r="H92" s="16">
        <v>0</v>
      </c>
      <c r="I92" s="12" t="s">
        <v>380</v>
      </c>
      <c r="J92" s="13"/>
      <c r="K92" s="17" t="s">
        <v>44</v>
      </c>
      <c r="L92" s="18"/>
      <c r="M92" s="19"/>
    </row>
  </sheetData>
  <autoFilter ref="A1:M92" xr:uid="{00000000-0009-0000-0000-000001000000}"/>
  <dataValidations count="1">
    <dataValidation type="textLength" operator="lessThanOrEqual" allowBlank="1" errorTitle="Artikelnummer prüfen" error="Eine R+F-Artikelnummer hat höchstens 14 Stellen." sqref="L2:L92" xr:uid="{00000000-0002-0000-0100-000000000000}">
      <formula1>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Übersicht</vt:lpstr>
      <vt:lpstr>Zuordnungen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Weich</cp:lastModifiedBy>
  <dcterms:created xsi:type="dcterms:W3CDTF">2026-09-13T10:56:48Z</dcterms:created>
  <dcterms:modified xsi:type="dcterms:W3CDTF">2026-09-13T10:57:39Z</dcterms:modified>
</cp:coreProperties>
</file>